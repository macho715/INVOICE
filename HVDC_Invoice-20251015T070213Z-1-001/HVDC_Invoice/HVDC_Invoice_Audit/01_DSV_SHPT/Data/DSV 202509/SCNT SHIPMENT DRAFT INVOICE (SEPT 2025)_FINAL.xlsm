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09" codeName="{DD97A8EA-9A9A-E61F-A557-7D5A7D7259CE}"/>
  <workbookPr codeName="현재_통합_문서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inky\Downloads\HVDC_Invoice_Audit-20251012T195441Z-1-001\HVDC_Invoice_Audit\01_DSV_SHPT\Data\DSV 202509\"/>
    </mc:Choice>
  </mc:AlternateContent>
  <xr:revisionPtr revIDLastSave="0" documentId="13_ncr:1_{528C3BA9-62B1-478E-B93E-7143DA369263}" xr6:coauthVersionLast="47" xr6:coauthVersionMax="47" xr10:uidLastSave="{00000000-0000-0000-0000-000000000000}"/>
  <bookViews>
    <workbookView xWindow="-98" yWindow="-98" windowWidth="21795" windowHeight="13875" tabRatio="681" xr2:uid="{E368CC25-D9FB-465E-B37D-F931E120D76E}"/>
  </bookViews>
  <sheets>
    <sheet name="SEPT" sheetId="125" r:id="rId1"/>
    <sheet name="MasterData" sheetId="277" r:id="rId2"/>
    <sheet name="SCT0126" sheetId="248" r:id="rId3"/>
    <sheet name="SCT0127" sheetId="263" r:id="rId4"/>
    <sheet name="SCT0038" sheetId="261" r:id="rId5"/>
    <sheet name="SCT0122" sheetId="249" r:id="rId6"/>
    <sheet name="SCT0131" sheetId="250" r:id="rId7"/>
    <sheet name="SCT0123,0124" sheetId="257" r:id="rId8"/>
    <sheet name="SCT0134" sheetId="262" r:id="rId9"/>
    <sheet name="HE0471" sheetId="251" r:id="rId10"/>
    <sheet name="HE0472" sheetId="252" r:id="rId11"/>
    <sheet name="HE0473" sheetId="253" r:id="rId12"/>
    <sheet name="HE0450,0459,0460" sheetId="254" r:id="rId13"/>
    <sheet name="HE0466,0467,0468" sheetId="260" r:id="rId14"/>
    <sheet name="HE0464,0465,0470" sheetId="256" r:id="rId15"/>
    <sheet name="HE0437,0438-2,0439-2,0440-1,044" sheetId="258" r:id="rId16"/>
    <sheet name="HE0487" sheetId="255" r:id="rId17"/>
    <sheet name="HE0438-0454" sheetId="264" r:id="rId18"/>
    <sheet name="HE0425,0426,0427,0428" sheetId="265" r:id="rId19"/>
    <sheet name="HE0475" sheetId="266" r:id="rId20"/>
    <sheet name="HE0497" sheetId="267" r:id="rId21"/>
    <sheet name="HE0500" sheetId="259" r:id="rId22"/>
    <sheet name="HE0488" sheetId="268" r:id="rId23"/>
    <sheet name="HE0495,0496" sheetId="269" r:id="rId24"/>
    <sheet name="HE0498" sheetId="270" r:id="rId25"/>
    <sheet name="HE0501" sheetId="271" r:id="rId26"/>
    <sheet name="HE0502" sheetId="272" r:id="rId27"/>
    <sheet name="HE0499L1" sheetId="273" r:id="rId28"/>
    <sheet name="HE0499L2" sheetId="274" r:id="rId29"/>
    <sheet name="HE0499L3" sheetId="275" r:id="rId30"/>
    <sheet name="LOG" sheetId="276" r:id="rId31"/>
  </sheets>
  <functionGroups builtInGroupCount="19"/>
  <definedNames>
    <definedName name="_xlnm._FilterDatabase" localSheetId="0" hidden="1">SEPT!$B$1:$Z$29</definedName>
    <definedName name="_xlnm.Print_Area" localSheetId="18">'HE0425,0426,0427,0428'!$A$5:$I$21</definedName>
    <definedName name="_xlnm.Print_Area" localSheetId="15">'HE0437,0438-2,0439-2,0440-1,044'!$A$5:$I$21</definedName>
    <definedName name="_xlnm.Print_Area" localSheetId="17">'HE0438-0454'!$A$5:$I$21</definedName>
    <definedName name="_xlnm.Print_Area" localSheetId="12">'HE0450,0459,0460'!$A$5:$I$21</definedName>
    <definedName name="_xlnm.Print_Area" localSheetId="14">'HE0464,0465,0470'!$A$5:$I$21</definedName>
    <definedName name="_xlnm.Print_Area" localSheetId="13">'HE0466,0467,0468'!$A$5:$I$21</definedName>
    <definedName name="_xlnm.Print_Area" localSheetId="9">'HE0471'!$A$5:$I$21</definedName>
    <definedName name="_xlnm.Print_Area" localSheetId="10">'HE0472'!$A$5:$I$21</definedName>
    <definedName name="_xlnm.Print_Area" localSheetId="11">'HE0473'!$A$5:$I$21</definedName>
    <definedName name="_xlnm.Print_Area" localSheetId="19">'HE0475'!$A$5:$I$21</definedName>
    <definedName name="_xlnm.Print_Area" localSheetId="16">'HE0487'!$A$5:$I$21</definedName>
    <definedName name="_xlnm.Print_Area" localSheetId="22">'HE0488'!$A$5:$I$21</definedName>
    <definedName name="_xlnm.Print_Area" localSheetId="23">'HE0495,0496'!$A$5:$I$21</definedName>
    <definedName name="_xlnm.Print_Area" localSheetId="20">'HE0497'!$A$5:$I$21</definedName>
    <definedName name="_xlnm.Print_Area" localSheetId="24">'HE0498'!$A$5:$I$21</definedName>
    <definedName name="_xlnm.Print_Area" localSheetId="27">HE0499L1!$A$5:$I$28</definedName>
    <definedName name="_xlnm.Print_Area" localSheetId="28">HE0499L2!$A$5:$I$26</definedName>
    <definedName name="_xlnm.Print_Area" localSheetId="29">HE0499L3!$A$5:$I$24</definedName>
    <definedName name="_xlnm.Print_Area" localSheetId="21">'HE0500'!$A$5:$I$21</definedName>
    <definedName name="_xlnm.Print_Area" localSheetId="25">'HE0501'!$A$5:$I$21</definedName>
    <definedName name="_xlnm.Print_Area" localSheetId="26">'HE0502'!$A$5:$I$21</definedName>
    <definedName name="_xlnm.Print_Area" localSheetId="4">'SCT0038'!$A$5:$I$22</definedName>
    <definedName name="_xlnm.Print_Area" localSheetId="5">'SCT0122'!$A$5:$I$28</definedName>
    <definedName name="_xlnm.Print_Area" localSheetId="7">'SCT0123,0124'!$A$5:$I$29</definedName>
    <definedName name="_xlnm.Print_Area" localSheetId="2">'SCT0126'!$A$5:$I$28</definedName>
    <definedName name="_xlnm.Print_Area" localSheetId="3">'SCT0127'!$A$5:$I$28</definedName>
    <definedName name="_xlnm.Print_Area" localSheetId="6">'SCT0131'!$A$5:$I$27</definedName>
    <definedName name="_xlnm.Print_Area" localSheetId="8">'SCT0134'!$A$5:$I$27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261" l="1"/>
  <c r="P18" i="263"/>
  <c r="P19" i="263"/>
  <c r="P17" i="249"/>
  <c r="P18" i="249"/>
  <c r="P19" i="249"/>
  <c r="P17" i="250"/>
  <c r="P18" i="250"/>
  <c r="P17" i="257"/>
  <c r="P18" i="257"/>
  <c r="P19" i="257"/>
  <c r="P20" i="257"/>
  <c r="P21" i="257"/>
  <c r="P18" i="262"/>
  <c r="P19" i="262"/>
  <c r="J12" i="275"/>
  <c r="K12" i="275" s="1"/>
  <c r="J13" i="275"/>
  <c r="K13" i="275" s="1"/>
  <c r="J14" i="275"/>
  <c r="K14" i="275" s="1"/>
  <c r="J15" i="275"/>
  <c r="K15" i="275" s="1"/>
  <c r="J16" i="275"/>
  <c r="K16" i="275" s="1"/>
  <c r="J17" i="275"/>
  <c r="K17" i="275" s="1"/>
  <c r="J12" i="274"/>
  <c r="K12" i="274" s="1"/>
  <c r="J13" i="274"/>
  <c r="K13" i="274" s="1"/>
  <c r="J14" i="274"/>
  <c r="K14" i="274" s="1"/>
  <c r="J15" i="274"/>
  <c r="K15" i="274" s="1"/>
  <c r="J16" i="274"/>
  <c r="K16" i="274" s="1"/>
  <c r="K17" i="273"/>
  <c r="J12" i="273"/>
  <c r="K12" i="273" s="1"/>
  <c r="J13" i="273"/>
  <c r="K13" i="273" s="1"/>
  <c r="L13" i="273" s="1"/>
  <c r="J14" i="273"/>
  <c r="K14" i="273" s="1"/>
  <c r="J15" i="273"/>
  <c r="K15" i="273" s="1"/>
  <c r="J16" i="273"/>
  <c r="K16" i="273" s="1"/>
  <c r="J17" i="273"/>
  <c r="J18" i="273"/>
  <c r="K18" i="273" s="1"/>
  <c r="J19" i="273"/>
  <c r="K19" i="273" s="1"/>
  <c r="J20" i="273"/>
  <c r="K20" i="273" s="1"/>
  <c r="J21" i="273"/>
  <c r="K21" i="273" s="1"/>
  <c r="K14" i="272"/>
  <c r="J13" i="272"/>
  <c r="K13" i="272" s="1"/>
  <c r="J14" i="272"/>
  <c r="J13" i="271"/>
  <c r="K13" i="271" s="1"/>
  <c r="J14" i="271"/>
  <c r="K14" i="271" s="1"/>
  <c r="L14" i="271" s="1"/>
  <c r="J13" i="270"/>
  <c r="K13" i="270" s="1"/>
  <c r="J14" i="270"/>
  <c r="K14" i="270" s="1"/>
  <c r="L14" i="270" s="1"/>
  <c r="J13" i="269"/>
  <c r="K13" i="269" s="1"/>
  <c r="J14" i="269"/>
  <c r="K14" i="269" s="1"/>
  <c r="L14" i="269" s="1"/>
  <c r="J13" i="268"/>
  <c r="K13" i="268" s="1"/>
  <c r="J14" i="268"/>
  <c r="K14" i="268" s="1"/>
  <c r="L14" i="268" s="1"/>
  <c r="K14" i="259"/>
  <c r="J13" i="259"/>
  <c r="K13" i="259" s="1"/>
  <c r="J14" i="259"/>
  <c r="J13" i="267"/>
  <c r="K13" i="267" s="1"/>
  <c r="J14" i="267"/>
  <c r="K14" i="267" s="1"/>
  <c r="J13" i="266"/>
  <c r="K13" i="266" s="1"/>
  <c r="J14" i="266"/>
  <c r="K14" i="266" s="1"/>
  <c r="K14" i="265"/>
  <c r="J13" i="265"/>
  <c r="K13" i="265" s="1"/>
  <c r="J14" i="265"/>
  <c r="J13" i="264"/>
  <c r="K13" i="264" s="1"/>
  <c r="J14" i="264"/>
  <c r="K14" i="264" s="1"/>
  <c r="J13" i="255"/>
  <c r="K13" i="255" s="1"/>
  <c r="J14" i="255"/>
  <c r="K14" i="255" s="1"/>
  <c r="J13" i="258"/>
  <c r="K13" i="258" s="1"/>
  <c r="J14" i="258"/>
  <c r="K14" i="258" s="1"/>
  <c r="J13" i="256"/>
  <c r="K13" i="256" s="1"/>
  <c r="J14" i="256"/>
  <c r="K14" i="256" s="1"/>
  <c r="K14" i="260"/>
  <c r="J13" i="260"/>
  <c r="K13" i="260" s="1"/>
  <c r="J14" i="260"/>
  <c r="J13" i="254"/>
  <c r="K13" i="254" s="1"/>
  <c r="J14" i="254"/>
  <c r="K14" i="254" s="1"/>
  <c r="J13" i="253"/>
  <c r="K13" i="253" s="1"/>
  <c r="J14" i="253"/>
  <c r="K14" i="253" s="1"/>
  <c r="K14" i="252"/>
  <c r="J13" i="252"/>
  <c r="K13" i="252" s="1"/>
  <c r="J14" i="252"/>
  <c r="J13" i="251"/>
  <c r="K13" i="251" s="1"/>
  <c r="J14" i="251"/>
  <c r="K14" i="251" s="1"/>
  <c r="J13" i="262"/>
  <c r="K13" i="262" s="1"/>
  <c r="J14" i="262"/>
  <c r="K14" i="262" s="1"/>
  <c r="J15" i="262"/>
  <c r="K15" i="262" s="1"/>
  <c r="J16" i="262"/>
  <c r="K16" i="262" s="1"/>
  <c r="J13" i="257"/>
  <c r="K13" i="257" s="1"/>
  <c r="J14" i="257"/>
  <c r="K14" i="257" s="1"/>
  <c r="J15" i="257"/>
  <c r="K15" i="257" s="1"/>
  <c r="J16" i="257"/>
  <c r="K16" i="257" s="1"/>
  <c r="J13" i="250"/>
  <c r="K13" i="250" s="1"/>
  <c r="J14" i="250"/>
  <c r="K14" i="250" s="1"/>
  <c r="J15" i="250"/>
  <c r="K15" i="250" s="1"/>
  <c r="J16" i="250"/>
  <c r="K16" i="250" s="1"/>
  <c r="J13" i="249"/>
  <c r="K13" i="249" s="1"/>
  <c r="J14" i="249"/>
  <c r="K14" i="249" s="1"/>
  <c r="J15" i="249"/>
  <c r="K15" i="249" s="1"/>
  <c r="J16" i="249"/>
  <c r="K16" i="249" s="1"/>
  <c r="J13" i="261"/>
  <c r="K13" i="261" s="1"/>
  <c r="J13" i="263"/>
  <c r="K13" i="263" s="1"/>
  <c r="J14" i="263"/>
  <c r="K14" i="263" s="1"/>
  <c r="J15" i="263"/>
  <c r="K15" i="263" s="1"/>
  <c r="J16" i="263"/>
  <c r="K16" i="263" s="1"/>
  <c r="J17" i="263"/>
  <c r="K17" i="263" s="1"/>
  <c r="J13" i="248"/>
  <c r="K13" i="248" s="1"/>
  <c r="J14" i="248"/>
  <c r="K14" i="248" s="1"/>
  <c r="J15" i="248"/>
  <c r="K15" i="248" s="1"/>
  <c r="J16" i="248"/>
  <c r="K16" i="248" s="1"/>
  <c r="J17" i="248"/>
  <c r="K17" i="248" s="1"/>
  <c r="J18" i="248"/>
  <c r="K18" i="248" s="1"/>
  <c r="H21" i="275"/>
  <c r="H20" i="275"/>
  <c r="H19" i="275"/>
  <c r="H18" i="275"/>
  <c r="H17" i="275"/>
  <c r="H16" i="275"/>
  <c r="H15" i="275"/>
  <c r="H14" i="275"/>
  <c r="H13" i="275"/>
  <c r="H12" i="275"/>
  <c r="I6" i="275"/>
  <c r="H23" i="274"/>
  <c r="H22" i="274"/>
  <c r="H21" i="274"/>
  <c r="H20" i="274"/>
  <c r="H19" i="274"/>
  <c r="H18" i="274"/>
  <c r="H17" i="274"/>
  <c r="H16" i="274"/>
  <c r="H15" i="274"/>
  <c r="H14" i="274"/>
  <c r="H13" i="274"/>
  <c r="H12" i="274"/>
  <c r="I6" i="274"/>
  <c r="H13" i="273"/>
  <c r="H14" i="273"/>
  <c r="H15" i="273"/>
  <c r="H16" i="273"/>
  <c r="H17" i="273"/>
  <c r="H18" i="273"/>
  <c r="H19" i="273"/>
  <c r="H20" i="273"/>
  <c r="H21" i="273"/>
  <c r="H25" i="273"/>
  <c r="H24" i="273"/>
  <c r="H23" i="273"/>
  <c r="H22" i="273"/>
  <c r="H12" i="273"/>
  <c r="I6" i="273"/>
  <c r="H18" i="272"/>
  <c r="H17" i="272"/>
  <c r="H16" i="272"/>
  <c r="H15" i="272"/>
  <c r="H14" i="272"/>
  <c r="Q26" i="125" s="1"/>
  <c r="H13" i="272"/>
  <c r="P26" i="125" s="1"/>
  <c r="I6" i="272"/>
  <c r="H18" i="271"/>
  <c r="H17" i="271"/>
  <c r="H16" i="271"/>
  <c r="H15" i="271"/>
  <c r="H14" i="271"/>
  <c r="Q25" i="125" s="1"/>
  <c r="H13" i="271"/>
  <c r="P25" i="125" s="1"/>
  <c r="I6" i="271"/>
  <c r="P24" i="125"/>
  <c r="H18" i="270"/>
  <c r="H17" i="270"/>
  <c r="H16" i="270"/>
  <c r="H15" i="270"/>
  <c r="H14" i="270"/>
  <c r="Q24" i="125" s="1"/>
  <c r="H13" i="270"/>
  <c r="I6" i="270"/>
  <c r="Q23" i="125"/>
  <c r="H18" i="269"/>
  <c r="H17" i="269"/>
  <c r="H16" i="269"/>
  <c r="H15" i="269"/>
  <c r="H14" i="269"/>
  <c r="H13" i="269"/>
  <c r="P23" i="125" s="1"/>
  <c r="I6" i="269"/>
  <c r="H18" i="268"/>
  <c r="H17" i="268"/>
  <c r="H16" i="268"/>
  <c r="H15" i="268"/>
  <c r="H14" i="268"/>
  <c r="Q22" i="125" s="1"/>
  <c r="H13" i="268"/>
  <c r="P22" i="125" s="1"/>
  <c r="I6" i="268"/>
  <c r="L14" i="272" l="1"/>
  <c r="L13" i="275"/>
  <c r="L18" i="273"/>
  <c r="L17" i="273"/>
  <c r="L17" i="275"/>
  <c r="L16" i="275"/>
  <c r="L16" i="273"/>
  <c r="L15" i="275"/>
  <c r="L14" i="275"/>
  <c r="L15" i="274"/>
  <c r="L13" i="274"/>
  <c r="K25" i="274"/>
  <c r="L12" i="274"/>
  <c r="L14" i="274"/>
  <c r="L16" i="274"/>
  <c r="L25" i="274" s="1"/>
  <c r="L19" i="273"/>
  <c r="L21" i="273"/>
  <c r="L14" i="273"/>
  <c r="L15" i="273"/>
  <c r="L20" i="273"/>
  <c r="K20" i="267"/>
  <c r="K20" i="256"/>
  <c r="K20" i="264"/>
  <c r="K20" i="271"/>
  <c r="L13" i="271"/>
  <c r="L20" i="271" s="1"/>
  <c r="K20" i="254"/>
  <c r="K20" i="258"/>
  <c r="K20" i="252"/>
  <c r="K20" i="265"/>
  <c r="K20" i="272"/>
  <c r="L13" i="272"/>
  <c r="K20" i="259"/>
  <c r="K23" i="275"/>
  <c r="L12" i="275"/>
  <c r="K20" i="268"/>
  <c r="L13" i="268"/>
  <c r="L20" i="268" s="1"/>
  <c r="K20" i="255"/>
  <c r="K20" i="270"/>
  <c r="L13" i="270"/>
  <c r="L20" i="270" s="1"/>
  <c r="K20" i="251"/>
  <c r="K20" i="269"/>
  <c r="L13" i="269"/>
  <c r="L20" i="269" s="1"/>
  <c r="K20" i="260"/>
  <c r="K20" i="253"/>
  <c r="K20" i="266"/>
  <c r="K27" i="273"/>
  <c r="L12" i="273"/>
  <c r="K21" i="261"/>
  <c r="H20" i="268"/>
  <c r="H22" i="268" s="1"/>
  <c r="H20" i="270"/>
  <c r="H22" i="270" s="1"/>
  <c r="H20" i="271"/>
  <c r="H22" i="271" s="1"/>
  <c r="H20" i="272"/>
  <c r="H22" i="272" s="1"/>
  <c r="H23" i="275"/>
  <c r="H25" i="274"/>
  <c r="H27" i="273"/>
  <c r="H20" i="269"/>
  <c r="H22" i="269" s="1"/>
  <c r="H18" i="267"/>
  <c r="H17" i="267"/>
  <c r="H16" i="267"/>
  <c r="H15" i="267"/>
  <c r="H14" i="267"/>
  <c r="L14" i="267" s="1"/>
  <c r="H13" i="267"/>
  <c r="P20" i="125" s="1"/>
  <c r="I6" i="267"/>
  <c r="H18" i="266"/>
  <c r="H17" i="266"/>
  <c r="H16" i="266"/>
  <c r="H15" i="266"/>
  <c r="H14" i="266"/>
  <c r="Q19" i="125" s="1"/>
  <c r="H13" i="266"/>
  <c r="P19" i="125" s="1"/>
  <c r="I6" i="266"/>
  <c r="P18" i="125"/>
  <c r="H18" i="265"/>
  <c r="H17" i="265"/>
  <c r="H16" i="265"/>
  <c r="H15" i="265"/>
  <c r="H14" i="265"/>
  <c r="Q18" i="125" s="1"/>
  <c r="H13" i="265"/>
  <c r="L13" i="265" s="1"/>
  <c r="I6" i="265"/>
  <c r="P17" i="125"/>
  <c r="L17" i="125"/>
  <c r="H18" i="264"/>
  <c r="H17" i="264"/>
  <c r="H16" i="264"/>
  <c r="H15" i="264"/>
  <c r="H14" i="264"/>
  <c r="Q17" i="125" s="1"/>
  <c r="H13" i="264"/>
  <c r="L13" i="264" s="1"/>
  <c r="I6" i="264"/>
  <c r="Y22" i="125"/>
  <c r="Y23" i="125"/>
  <c r="Y24" i="125"/>
  <c r="H14" i="260"/>
  <c r="L14" i="260" s="1"/>
  <c r="Q13" i="125"/>
  <c r="E19" i="263"/>
  <c r="J19" i="263" s="1"/>
  <c r="K19" i="263" s="1"/>
  <c r="E18" i="263"/>
  <c r="I6" i="263"/>
  <c r="H25" i="263"/>
  <c r="H24" i="263"/>
  <c r="H23" i="263"/>
  <c r="H22" i="263"/>
  <c r="H21" i="263"/>
  <c r="H20" i="263"/>
  <c r="H19" i="263"/>
  <c r="H17" i="263"/>
  <c r="L17" i="263" s="1"/>
  <c r="H16" i="263"/>
  <c r="T3" i="125" s="1"/>
  <c r="H15" i="263"/>
  <c r="S3" i="125" s="1"/>
  <c r="H14" i="263"/>
  <c r="Q3" i="125" s="1"/>
  <c r="H13" i="263"/>
  <c r="P3" i="125" s="1"/>
  <c r="E19" i="249"/>
  <c r="J19" i="249" s="1"/>
  <c r="K19" i="249" s="1"/>
  <c r="Y19" i="125" l="1"/>
  <c r="L13" i="266"/>
  <c r="L20" i="266" s="1"/>
  <c r="L23" i="275"/>
  <c r="L14" i="264"/>
  <c r="L20" i="264" s="1"/>
  <c r="L14" i="265"/>
  <c r="L20" i="265" s="1"/>
  <c r="L20" i="272"/>
  <c r="L13" i="267"/>
  <c r="L20" i="267" s="1"/>
  <c r="L14" i="266"/>
  <c r="L15" i="263"/>
  <c r="L14" i="263"/>
  <c r="L16" i="263"/>
  <c r="H18" i="263"/>
  <c r="X3" i="125" s="1"/>
  <c r="Y3" i="125" s="1"/>
  <c r="J18" i="263"/>
  <c r="K18" i="263" s="1"/>
  <c r="L19" i="263"/>
  <c r="L13" i="263"/>
  <c r="L27" i="273"/>
  <c r="H20" i="267"/>
  <c r="H22" i="267" s="1"/>
  <c r="H27" i="274"/>
  <c r="W28" i="125"/>
  <c r="H25" i="275"/>
  <c r="W29" i="125"/>
  <c r="H20" i="264"/>
  <c r="H22" i="264" s="1"/>
  <c r="Y18" i="125"/>
  <c r="H20" i="265"/>
  <c r="H22" i="265" s="1"/>
  <c r="H20" i="266"/>
  <c r="H22" i="266" s="1"/>
  <c r="H29" i="273"/>
  <c r="W27" i="125"/>
  <c r="Q20" i="125"/>
  <c r="Y20" i="125" s="1"/>
  <c r="H27" i="263"/>
  <c r="H29" i="263" s="1"/>
  <c r="L18" i="263" l="1"/>
  <c r="L27" i="263" s="1"/>
  <c r="K27" i="263"/>
  <c r="E17" i="262"/>
  <c r="H24" i="262"/>
  <c r="H23" i="262"/>
  <c r="H22" i="262"/>
  <c r="H21" i="262"/>
  <c r="H20" i="262"/>
  <c r="E18" i="262"/>
  <c r="E19" i="262"/>
  <c r="H16" i="262"/>
  <c r="H15" i="262"/>
  <c r="H14" i="262"/>
  <c r="H13" i="262"/>
  <c r="I6" i="262"/>
  <c r="H13" i="261"/>
  <c r="L13" i="261" s="1"/>
  <c r="L21" i="261" s="1"/>
  <c r="H19" i="261"/>
  <c r="H18" i="261"/>
  <c r="H17" i="261"/>
  <c r="H16" i="261"/>
  <c r="H15" i="261"/>
  <c r="H14" i="261"/>
  <c r="I6" i="261"/>
  <c r="L16" i="262" l="1"/>
  <c r="H18" i="262"/>
  <c r="J18" i="262"/>
  <c r="K18" i="262" s="1"/>
  <c r="L18" i="262" s="1"/>
  <c r="H19" i="262"/>
  <c r="J19" i="262"/>
  <c r="K19" i="262" s="1"/>
  <c r="L19" i="262" s="1"/>
  <c r="P8" i="125"/>
  <c r="L13" i="262"/>
  <c r="Q8" i="125"/>
  <c r="L14" i="262"/>
  <c r="S8" i="125"/>
  <c r="L15" i="262"/>
  <c r="H17" i="262"/>
  <c r="T8" i="125" s="1"/>
  <c r="J17" i="262"/>
  <c r="K17" i="262" s="1"/>
  <c r="X8" i="125"/>
  <c r="H21" i="261"/>
  <c r="H23" i="261" s="1"/>
  <c r="X4" i="125"/>
  <c r="Y4" i="125" s="1"/>
  <c r="H18" i="260"/>
  <c r="H17" i="260"/>
  <c r="H16" i="260"/>
  <c r="H15" i="260"/>
  <c r="H13" i="260"/>
  <c r="L13" i="260" s="1"/>
  <c r="L20" i="260" s="1"/>
  <c r="I6" i="260"/>
  <c r="H18" i="259"/>
  <c r="H17" i="259"/>
  <c r="H16" i="259"/>
  <c r="H15" i="259"/>
  <c r="H14" i="259"/>
  <c r="H13" i="259"/>
  <c r="I6" i="259"/>
  <c r="H18" i="258"/>
  <c r="H17" i="258"/>
  <c r="H16" i="258"/>
  <c r="H15" i="258"/>
  <c r="H14" i="258"/>
  <c r="H13" i="258"/>
  <c r="L13" i="258" s="1"/>
  <c r="I6" i="258"/>
  <c r="P21" i="125" l="1"/>
  <c r="L13" i="259"/>
  <c r="Q21" i="125"/>
  <c r="L14" i="259"/>
  <c r="Y8" i="125"/>
  <c r="Q15" i="125"/>
  <c r="L14" i="258"/>
  <c r="L20" i="258" s="1"/>
  <c r="L17" i="262"/>
  <c r="L26" i="262" s="1"/>
  <c r="K26" i="262"/>
  <c r="H26" i="262"/>
  <c r="H28" i="262" s="1"/>
  <c r="H20" i="258"/>
  <c r="H22" i="258" s="1"/>
  <c r="P15" i="125"/>
  <c r="H20" i="260"/>
  <c r="H22" i="260" s="1"/>
  <c r="P13" i="125"/>
  <c r="H20" i="259"/>
  <c r="H22" i="259" s="1"/>
  <c r="E21" i="257"/>
  <c r="J21" i="257" s="1"/>
  <c r="K21" i="257" s="1"/>
  <c r="E20" i="257"/>
  <c r="J20" i="257" s="1"/>
  <c r="K20" i="257" s="1"/>
  <c r="Y21" i="125" l="1"/>
  <c r="L20" i="259"/>
  <c r="E19" i="257"/>
  <c r="E18" i="257"/>
  <c r="J18" i="257" s="1"/>
  <c r="K18" i="257" s="1"/>
  <c r="E17" i="257"/>
  <c r="H26" i="257"/>
  <c r="H25" i="257"/>
  <c r="H24" i="257"/>
  <c r="H23" i="257"/>
  <c r="H22" i="257"/>
  <c r="H21" i="257"/>
  <c r="L21" i="257" s="1"/>
  <c r="H20" i="257"/>
  <c r="L20" i="257" s="1"/>
  <c r="H18" i="257"/>
  <c r="H16" i="257"/>
  <c r="H15" i="257"/>
  <c r="H14" i="257"/>
  <c r="H13" i="257"/>
  <c r="I6" i="257"/>
  <c r="L18" i="257" l="1"/>
  <c r="Q7" i="125"/>
  <c r="L14" i="257"/>
  <c r="S7" i="125"/>
  <c r="L15" i="257"/>
  <c r="T7" i="125"/>
  <c r="L16" i="257"/>
  <c r="H17" i="257"/>
  <c r="H28" i="257" s="1"/>
  <c r="H30" i="257" s="1"/>
  <c r="J17" i="257"/>
  <c r="K17" i="257" s="1"/>
  <c r="H19" i="257"/>
  <c r="J19" i="257"/>
  <c r="K19" i="257" s="1"/>
  <c r="P7" i="125"/>
  <c r="L13" i="257"/>
  <c r="X7" i="125" l="1"/>
  <c r="L17" i="257"/>
  <c r="K28" i="257"/>
  <c r="L19" i="257"/>
  <c r="H18" i="256"/>
  <c r="H17" i="256"/>
  <c r="H16" i="256"/>
  <c r="H15" i="256"/>
  <c r="H14" i="256"/>
  <c r="H13" i="256"/>
  <c r="L13" i="256" s="1"/>
  <c r="I6" i="256"/>
  <c r="H18" i="255"/>
  <c r="H17" i="255"/>
  <c r="H16" i="255"/>
  <c r="H15" i="255"/>
  <c r="H14" i="255"/>
  <c r="H13" i="255"/>
  <c r="L13" i="255" s="1"/>
  <c r="I6" i="255"/>
  <c r="H18" i="254"/>
  <c r="H17" i="254"/>
  <c r="H16" i="254"/>
  <c r="H15" i="254"/>
  <c r="H14" i="254"/>
  <c r="H13" i="254"/>
  <c r="L13" i="254" s="1"/>
  <c r="I6" i="254"/>
  <c r="Q12" i="125" l="1"/>
  <c r="L14" i="254"/>
  <c r="L20" i="254" s="1"/>
  <c r="Q16" i="125"/>
  <c r="L14" i="255"/>
  <c r="L20" i="256"/>
  <c r="L28" i="257"/>
  <c r="L20" i="255"/>
  <c r="Q14" i="125"/>
  <c r="L14" i="256"/>
  <c r="H20" i="255"/>
  <c r="H22" i="255" s="1"/>
  <c r="P16" i="125"/>
  <c r="H20" i="256"/>
  <c r="H22" i="256" s="1"/>
  <c r="P14" i="125"/>
  <c r="H20" i="254"/>
  <c r="H22" i="254" s="1"/>
  <c r="P12" i="125"/>
  <c r="H18" i="253"/>
  <c r="H17" i="253"/>
  <c r="H16" i="253"/>
  <c r="H15" i="253"/>
  <c r="H14" i="253"/>
  <c r="H13" i="253"/>
  <c r="L13" i="253" s="1"/>
  <c r="I6" i="253"/>
  <c r="H18" i="252"/>
  <c r="H17" i="252"/>
  <c r="H16" i="252"/>
  <c r="H15" i="252"/>
  <c r="H14" i="252"/>
  <c r="H13" i="252"/>
  <c r="L13" i="252" s="1"/>
  <c r="I6" i="252"/>
  <c r="H18" i="251"/>
  <c r="H17" i="251"/>
  <c r="H16" i="251"/>
  <c r="H15" i="251"/>
  <c r="H14" i="251"/>
  <c r="H13" i="251"/>
  <c r="L13" i="251" s="1"/>
  <c r="I6" i="251"/>
  <c r="Q10" i="125" l="1"/>
  <c r="L14" i="252"/>
  <c r="Q9" i="125"/>
  <c r="L14" i="251"/>
  <c r="L20" i="251" s="1"/>
  <c r="L20" i="252"/>
  <c r="Q11" i="125"/>
  <c r="L14" i="253"/>
  <c r="L20" i="253"/>
  <c r="H20" i="253"/>
  <c r="H22" i="253" s="1"/>
  <c r="P11" i="125"/>
  <c r="H20" i="252"/>
  <c r="H22" i="252" s="1"/>
  <c r="P9" i="125"/>
  <c r="P10" i="125"/>
  <c r="H20" i="251"/>
  <c r="H22" i="251" s="1"/>
  <c r="P5" i="125"/>
  <c r="E18" i="250"/>
  <c r="E17" i="250"/>
  <c r="H24" i="250"/>
  <c r="H23" i="250"/>
  <c r="H22" i="250"/>
  <c r="H21" i="250"/>
  <c r="H20" i="250"/>
  <c r="H19" i="250"/>
  <c r="H16" i="250"/>
  <c r="H15" i="250"/>
  <c r="H14" i="250"/>
  <c r="H13" i="250"/>
  <c r="I6" i="250"/>
  <c r="E18" i="249"/>
  <c r="E17" i="249"/>
  <c r="H25" i="249"/>
  <c r="H24" i="249"/>
  <c r="H23" i="249"/>
  <c r="H22" i="249"/>
  <c r="H21" i="249"/>
  <c r="H20" i="249"/>
  <c r="H19" i="249"/>
  <c r="L19" i="249" s="1"/>
  <c r="H16" i="249"/>
  <c r="H15" i="249"/>
  <c r="H14" i="249"/>
  <c r="H13" i="249"/>
  <c r="L13" i="249" s="1"/>
  <c r="I6" i="249"/>
  <c r="H18" i="248"/>
  <c r="L18" i="248" s="1"/>
  <c r="H17" i="249" l="1"/>
  <c r="J17" i="249"/>
  <c r="K17" i="249" s="1"/>
  <c r="Q5" i="125"/>
  <c r="L14" i="249"/>
  <c r="S5" i="125"/>
  <c r="L15" i="249"/>
  <c r="T5" i="125"/>
  <c r="L16" i="249"/>
  <c r="H18" i="249"/>
  <c r="J18" i="249"/>
  <c r="K18" i="249" s="1"/>
  <c r="L18" i="249" s="1"/>
  <c r="T6" i="125"/>
  <c r="L16" i="250"/>
  <c r="H18" i="250"/>
  <c r="J18" i="250"/>
  <c r="K18" i="250" s="1"/>
  <c r="L18" i="250" s="1"/>
  <c r="P6" i="125"/>
  <c r="L13" i="250"/>
  <c r="Q6" i="125"/>
  <c r="L14" i="250"/>
  <c r="S6" i="125"/>
  <c r="L15" i="250"/>
  <c r="H17" i="250"/>
  <c r="H26" i="250" s="1"/>
  <c r="H28" i="250" s="1"/>
  <c r="J17" i="250"/>
  <c r="K17" i="250" s="1"/>
  <c r="X6" i="125"/>
  <c r="X5" i="125"/>
  <c r="H27" i="249"/>
  <c r="H29" i="249" s="1"/>
  <c r="Y28" i="125"/>
  <c r="L17" i="249" l="1"/>
  <c r="L27" i="249" s="1"/>
  <c r="K27" i="249"/>
  <c r="L17" i="250"/>
  <c r="L26" i="250" s="1"/>
  <c r="K26" i="250"/>
  <c r="E20" i="248"/>
  <c r="E19" i="248"/>
  <c r="H25" i="248"/>
  <c r="H24" i="248"/>
  <c r="H23" i="248"/>
  <c r="H22" i="248"/>
  <c r="H21" i="248"/>
  <c r="H17" i="248"/>
  <c r="H16" i="248"/>
  <c r="L16" i="248" s="1"/>
  <c r="H15" i="248"/>
  <c r="L15" i="248" s="1"/>
  <c r="H14" i="248"/>
  <c r="H13" i="248"/>
  <c r="I6" i="248"/>
  <c r="H19" i="248" l="1"/>
  <c r="J19" i="248"/>
  <c r="K19" i="248" s="1"/>
  <c r="T2" i="125"/>
  <c r="L17" i="248"/>
  <c r="H20" i="248"/>
  <c r="H27" i="248" s="1"/>
  <c r="H29" i="248" s="1"/>
  <c r="J20" i="248"/>
  <c r="K20" i="248" s="1"/>
  <c r="L20" i="248" s="1"/>
  <c r="Q2" i="125"/>
  <c r="L14" i="248"/>
  <c r="P2" i="125"/>
  <c r="L13" i="248"/>
  <c r="S2" i="125"/>
  <c r="Y6" i="125"/>
  <c r="Y7" i="125"/>
  <c r="X2" i="125" l="1"/>
  <c r="Y2" i="125" s="1"/>
  <c r="L19" i="248"/>
  <c r="L27" i="248" s="1"/>
  <c r="K27" i="248"/>
  <c r="Y12" i="125"/>
  <c r="Y11" i="125" l="1"/>
  <c r="Y10" i="125"/>
  <c r="Y27" i="125" l="1"/>
  <c r="Y26" i="125" l="1"/>
  <c r="Y5" i="125" l="1"/>
  <c r="Y14" i="125" l="1"/>
  <c r="Y13" i="125" l="1"/>
  <c r="Y15" i="125"/>
  <c r="Y9" i="125"/>
  <c r="Y16" i="125"/>
  <c r="Y17" i="125" l="1"/>
  <c r="Y25" i="125" l="1"/>
  <c r="Y29" i="125"/>
</calcChain>
</file>

<file path=xl/sharedStrings.xml><?xml version="1.0" encoding="utf-8"?>
<sst xmlns="http://schemas.openxmlformats.org/spreadsheetml/2006/main" count="2090" uniqueCount="425">
  <si>
    <t>CONTRACT</t>
  </si>
  <si>
    <t>S/No</t>
  </si>
  <si>
    <t>Shpt Ref</t>
  </si>
  <si>
    <t>Type</t>
  </si>
  <si>
    <t>Job #</t>
  </si>
  <si>
    <t>BL #</t>
  </si>
  <si>
    <t>POL</t>
  </si>
  <si>
    <t>POD</t>
  </si>
  <si>
    <t>Mode</t>
  </si>
  <si>
    <t>No. Of CNTR</t>
  </si>
  <si>
    <t>Volume</t>
  </si>
  <si>
    <t>Quantity</t>
  </si>
  <si>
    <t>BOE Issued Date</t>
  </si>
  <si>
    <t># Trips</t>
  </si>
  <si>
    <t>MASTER DO
CHARGE</t>
  </si>
  <si>
    <t>CUSTOMS
CLEARANCE
CHARGE</t>
  </si>
  <si>
    <t>HOUSE
DO
CHARGE (BL EXCHANGE) / DELIVERY ORDER</t>
  </si>
  <si>
    <t>PORT HANDLING CHARGE</t>
  </si>
  <si>
    <t>TRANSPORTATION
CHARGE</t>
  </si>
  <si>
    <t>ADDITIONAL AMOUNT
(Please refer to the detail sheet)</t>
  </si>
  <si>
    <t>AT COST AMOUNT</t>
  </si>
  <si>
    <t>GRAND TOTAL (USD)</t>
  </si>
  <si>
    <t>Remarks</t>
  </si>
  <si>
    <t>Bill to:</t>
  </si>
  <si>
    <t>Draft Invoice Date:</t>
  </si>
  <si>
    <t>SAMSUNG C&amp;T CORPORATION ABU DHABI</t>
  </si>
  <si>
    <t>Customer ID:</t>
  </si>
  <si>
    <t>6410059266</t>
  </si>
  <si>
    <t>P.O. Box 42654</t>
  </si>
  <si>
    <t>CW1 Job Number:</t>
  </si>
  <si>
    <t xml:space="preserve">Abu Dhabi, United Arab Emirates	</t>
  </si>
  <si>
    <t>Order Ref. Number:</t>
  </si>
  <si>
    <t>MBL Number:</t>
  </si>
  <si>
    <t>RATE SOURCE</t>
  </si>
  <si>
    <t>DESCRIPTION</t>
  </si>
  <si>
    <t>RATE</t>
  </si>
  <si>
    <t>Q'TY</t>
  </si>
  <si>
    <t>TOTAL (USD)</t>
  </si>
  <si>
    <t>REMARK</t>
  </si>
  <si>
    <t>TOTAL</t>
  </si>
  <si>
    <t>AED</t>
  </si>
  <si>
    <t>AT COST</t>
  </si>
  <si>
    <t>Bill of Entry Number</t>
  </si>
  <si>
    <t>DELIVERY ORDER, TERMINAL HANDLING, DO &amp; LOCAL DHL FEE</t>
  </si>
  <si>
    <t>SHIPMENT</t>
  </si>
  <si>
    <t>KRPUS</t>
  </si>
  <si>
    <t>AEKHL</t>
  </si>
  <si>
    <t>FCL</t>
  </si>
  <si>
    <t>MASTER DO FEE</t>
  </si>
  <si>
    <t>CUSTOMS CLEARANCE FEE</t>
  </si>
  <si>
    <t>TERMINAL HANDLING FEE (1 X 20DC)</t>
  </si>
  <si>
    <t>Supporting documents provided</t>
  </si>
  <si>
    <t>TERMINAL HANDLING FEE (2 X 40HC)</t>
  </si>
  <si>
    <t>TRANSPORTATION CHARGES (1 X 20DC / 2 X 40HC) FROM KHALIFA PORT TO DSV MUSSAFAH YARD</t>
  </si>
  <si>
    <t>CARRIER CONTAINER RETURN SERVICE FEE</t>
  </si>
  <si>
    <t>BAMF0017659</t>
  </si>
  <si>
    <t>CHN2595234</t>
  </si>
  <si>
    <t>HVDC-ADOPT-SCT-0126</t>
  </si>
  <si>
    <t>30815/2025</t>
  </si>
  <si>
    <t>TRANSPORTATION CHARGES (1 X 20DC / 2 X 40HC) FROM DSV MUSSAFAH YARD TO KHALIFA PORT (EMPTY RETURN)</t>
  </si>
  <si>
    <t>HVDC-ADOPT-SCT-0122</t>
  </si>
  <si>
    <t>BAMF0017824</t>
  </si>
  <si>
    <t>MEDUMD743842</t>
  </si>
  <si>
    <t>32265/2025</t>
  </si>
  <si>
    <t>TRANSPORTATION CHARGES (1 X 20DC) FROM KHALIFA PORT TO DSV MUSSAFAH YARD</t>
  </si>
  <si>
    <t>CARRIER CONTAINER INSPECTION FEE (1 X 20DC)</t>
  </si>
  <si>
    <t>HVDC-ADOPT-SCT-0131</t>
  </si>
  <si>
    <t>BAMF0017825</t>
  </si>
  <si>
    <t>KRICN</t>
  </si>
  <si>
    <t>176-13032924</t>
  </si>
  <si>
    <t>AEAUH</t>
  </si>
  <si>
    <t>AIR</t>
  </si>
  <si>
    <t>48474/2025</t>
  </si>
  <si>
    <t>TERMINAL HANDLING CHARGES (CW: 2136 KG)</t>
  </si>
  <si>
    <t>TRANSPORTATION CHARGES (1 FB) FROM AUH AIRPORT TO MOSB</t>
  </si>
  <si>
    <t>APPOINTMENT FEE</t>
  </si>
  <si>
    <t>DPC FEE</t>
  </si>
  <si>
    <t>HVDC-ADOPT-HE-0471</t>
  </si>
  <si>
    <t>BAMF0017761</t>
  </si>
  <si>
    <t>RTM1530265</t>
  </si>
  <si>
    <t>HVDC-ADOPT-HE-0472</t>
  </si>
  <si>
    <t>BAMF0017768</t>
  </si>
  <si>
    <t>RTM1534281</t>
  </si>
  <si>
    <t>HVDC-ADOPT-HE-0473</t>
  </si>
  <si>
    <t>RTM1534707</t>
  </si>
  <si>
    <t>BAMF0017769</t>
  </si>
  <si>
    <t>HVDC-ADOPT-HE-0450, 0459, 0460</t>
  </si>
  <si>
    <t>MEDUUX613372</t>
  </si>
  <si>
    <t>BAMF0017867</t>
  </si>
  <si>
    <t>HVDC-ADOPT-HE-0487</t>
  </si>
  <si>
    <t>607-50516421</t>
  </si>
  <si>
    <t>BAMF0017784</t>
  </si>
  <si>
    <t>HVDC-ADOPT-HE-0464,0465,0470</t>
  </si>
  <si>
    <t>MEDUOS792143</t>
  </si>
  <si>
    <t>BAMF0017886</t>
  </si>
  <si>
    <t>HVDC-ADOPT-SCT-0123, 0124</t>
  </si>
  <si>
    <t>SELA26992900</t>
  </si>
  <si>
    <t>BAMF0017918</t>
  </si>
  <si>
    <t>TERMINAL HANDLING FEE (1 X 40HC)</t>
  </si>
  <si>
    <t>TRANSPORTATION CHARGES (1 X 40HC) FROM KP TO DSV MUSSAFAH YARD</t>
  </si>
  <si>
    <t>CARRIER CONTAINER REPOSITIONING FEE (1 X 40HC)</t>
  </si>
  <si>
    <t>CARRIER COTNAINER INSPECTION FEE (1 X 40HC)</t>
  </si>
  <si>
    <t>CARRIER COTNAINER ADMIN FEE (1 X 40HC)</t>
  </si>
  <si>
    <t>PORT CONTAINER ADMIN/INSPECTION FEE (1 X 40HC)</t>
  </si>
  <si>
    <t>PORT CONTAINER WASHING FEE (1 X 40HC)</t>
  </si>
  <si>
    <t>HVDC-ADOPT-HE-0437,0438-2,0439-2,0440-2,0441-1</t>
  </si>
  <si>
    <t>BAMF0017895</t>
  </si>
  <si>
    <t>MEDUUX614404</t>
  </si>
  <si>
    <t>BAMF0017956</t>
  </si>
  <si>
    <t>HVDC-ADOPT-HE-0500</t>
  </si>
  <si>
    <t>607-50517600</t>
  </si>
  <si>
    <t>HVDC-ADOPT-HE-0466,0467,0468</t>
  </si>
  <si>
    <t>MEDUUX624155</t>
  </si>
  <si>
    <t>BAMF0017960</t>
  </si>
  <si>
    <t>HVDC-ADOPT-SCT-0038</t>
  </si>
  <si>
    <t>SELA34449500</t>
  </si>
  <si>
    <t>PORT CONTAINER REPAIR FEES (KOCU4717043)</t>
  </si>
  <si>
    <t>TRANSPORTATION CHARGES (3 TON PU) FROM AUH AIRPORT TO MOSB</t>
  </si>
  <si>
    <t>TRANSPORTATION CHARGES (1 FB) FROM AUH AIRPORT TO MIRFA + SHUWEIHAT</t>
  </si>
  <si>
    <t>DOCUMENTATION PROCESSING FEE</t>
  </si>
  <si>
    <t>TRUCK APPOINTMENT FEE</t>
  </si>
  <si>
    <t>HVDC-ADOPT-SCT-0134</t>
  </si>
  <si>
    <t>176-19855570</t>
  </si>
  <si>
    <t>BAMF0018127</t>
  </si>
  <si>
    <t>BAMF0016623</t>
  </si>
  <si>
    <t>PORT CONTAINER ADMIN/INSPECTION FEE (1 X 20DC / 2 X 40HC)</t>
  </si>
  <si>
    <t>SELA65901100</t>
  </si>
  <si>
    <t>5324/2025</t>
  </si>
  <si>
    <t>CARRIER CONTAINER PROTECTION FEE (1 X 20DC)</t>
  </si>
  <si>
    <t>PORT CONTAINER INSPECTION &amp; WASHING FEE (1 X 20DC)</t>
  </si>
  <si>
    <t>33676/2025</t>
  </si>
  <si>
    <t>52506/2025</t>
  </si>
  <si>
    <t>HVDC-ADOPT-SCT-0127</t>
  </si>
  <si>
    <t>EGLV142502495441</t>
  </si>
  <si>
    <t>BAMF0017850</t>
  </si>
  <si>
    <t>CNSGH</t>
  </si>
  <si>
    <t>32824/2025</t>
  </si>
  <si>
    <t>ISPS IMPORT FEE (1 X 20DC)</t>
  </si>
  <si>
    <t>CARRIER CONTAINER MAINTENANCE FEE (1 X 20DC)</t>
  </si>
  <si>
    <t>PORT CONTAINER INSPECTION FEE (1 X 20DC)</t>
  </si>
  <si>
    <t>CLEARANCE</t>
  </si>
  <si>
    <t>Shipment Cleared and Delivered</t>
  </si>
  <si>
    <t>ANRB45303</t>
  </si>
  <si>
    <t>BEANR</t>
  </si>
  <si>
    <t>31514/2025</t>
  </si>
  <si>
    <t>Shipment Cleared</t>
  </si>
  <si>
    <t>31530/2025</t>
  </si>
  <si>
    <t>31521/2025</t>
  </si>
  <si>
    <t>Only 1 Container repair charge</t>
  </si>
  <si>
    <t>32351/2025</t>
  </si>
  <si>
    <t>HVDC-ADOPT-HE-0466, 0467, 0468</t>
  </si>
  <si>
    <t>33387/2025</t>
  </si>
  <si>
    <t>32789/2025</t>
  </si>
  <si>
    <t>HVDC-ADOPT-HE-0464, 0465, 0470</t>
  </si>
  <si>
    <t>32796/2025</t>
  </si>
  <si>
    <t>NLAMS</t>
  </si>
  <si>
    <t>47395/2025</t>
  </si>
  <si>
    <t>MEDUUX604827</t>
  </si>
  <si>
    <t>HVDC-ADOPT-HE-0438, 0439, 0440-1, 0441, 0482, 0454</t>
  </si>
  <si>
    <t>BAMF0017782</t>
  </si>
  <si>
    <t>SEGOT</t>
  </si>
  <si>
    <t>30650/2025</t>
  </si>
  <si>
    <t>HVDC-ADOPT-HE-0425, 0426, 0427, 0428</t>
  </si>
  <si>
    <t>MEDUUX603290</t>
  </si>
  <si>
    <t>BAMF0018017</t>
  </si>
  <si>
    <t>ITGOA</t>
  </si>
  <si>
    <t>33929/2025</t>
  </si>
  <si>
    <t>HVDC-ADOPT-HE-0475</t>
  </si>
  <si>
    <t>BAMF0018063</t>
  </si>
  <si>
    <t>RTM1534689</t>
  </si>
  <si>
    <t>34344/2025</t>
  </si>
  <si>
    <t>HVDC-ADOPT-HE-0497</t>
  </si>
  <si>
    <t>BAMF0017944</t>
  </si>
  <si>
    <t>607-50516443</t>
  </si>
  <si>
    <t>49510/2025 &amp; 49512/2025</t>
  </si>
  <si>
    <t>DKCPH</t>
  </si>
  <si>
    <t>49975/2025</t>
  </si>
  <si>
    <t>HVDC-ADOPT-HE-0488</t>
  </si>
  <si>
    <t>BAMF0017779</t>
  </si>
  <si>
    <t>607-50516406</t>
  </si>
  <si>
    <t>47325/2025</t>
  </si>
  <si>
    <t>HVDC-ADOPT-HE-0495, 0496</t>
  </si>
  <si>
    <t>BAMF0017809</t>
  </si>
  <si>
    <t>607-50516432</t>
  </si>
  <si>
    <t>47626/2025, 47628/2025</t>
  </si>
  <si>
    <t>HVDC-ADOPT-HE-0498</t>
  </si>
  <si>
    <t>607-37272745</t>
  </si>
  <si>
    <t>BAMF0018061</t>
  </si>
  <si>
    <t>ATLNZ</t>
  </si>
  <si>
    <t>51596/2025</t>
  </si>
  <si>
    <t>HVDC-ADOPT-HE-0501</t>
  </si>
  <si>
    <t>BAMF0018095</t>
  </si>
  <si>
    <t>607-50201874</t>
  </si>
  <si>
    <t>52048/2025</t>
  </si>
  <si>
    <t>HVDC-ADOPT-HE-0502</t>
  </si>
  <si>
    <t>BAMF0018089</t>
  </si>
  <si>
    <t>607-36126425</t>
  </si>
  <si>
    <t>DEFRA</t>
  </si>
  <si>
    <t>52050/2025</t>
  </si>
  <si>
    <t>HVDC-ADOPT-HE-0499 (LOT1)</t>
  </si>
  <si>
    <t>BAMF0017813</t>
  </si>
  <si>
    <t>DUTY</t>
  </si>
  <si>
    <t>CI-01256-25</t>
  </si>
  <si>
    <t>HVDC-ADOPT-HE-0499(LOT1)</t>
  </si>
  <si>
    <t>BILL OF ENTRY</t>
  </si>
  <si>
    <t>REGISTERATION FEE &amp; KNOWLEDGE DIRHAM</t>
  </si>
  <si>
    <t>DOCS PROCESSING</t>
  </si>
  <si>
    <t>GATE PASS CHARGES</t>
  </si>
  <si>
    <t>CODE IN JEBAL ALI SUBSCRIPTION</t>
  </si>
  <si>
    <t>CUSTOMS INSPECTION</t>
  </si>
  <si>
    <t>PRO CUSTOMS</t>
  </si>
  <si>
    <t>OUTLAY FEE ON CUSTOMS DUTY CHARGES</t>
  </si>
  <si>
    <t>Pass-through Customs Documentation Fee</t>
  </si>
  <si>
    <t>Others</t>
  </si>
  <si>
    <t>DUTY RELATED CHARGES</t>
  </si>
  <si>
    <t>Done</t>
  </si>
  <si>
    <t>102-08509705-25</t>
  </si>
  <si>
    <t>-</t>
  </si>
  <si>
    <t>HVDC-ADOPT-HE-0499 (LOT2)</t>
  </si>
  <si>
    <t>BAMF0017919</t>
  </si>
  <si>
    <t>CUSTOMS DUTY</t>
  </si>
  <si>
    <t>HVDC-ADOPT-HE-0499(LOT2)</t>
  </si>
  <si>
    <t>CUSTOMS INSPECITON</t>
  </si>
  <si>
    <t>DUTY OUTLAY FEE @ 5%</t>
  </si>
  <si>
    <t>CI-01260-25</t>
  </si>
  <si>
    <t>102-08538719-25</t>
  </si>
  <si>
    <t>HVDC-ADOPT-HE-0499(LOT3)</t>
  </si>
  <si>
    <t>BAMF0018111</t>
  </si>
  <si>
    <t>HVDC-ADOPT-HE-0499 (LOT3)</t>
  </si>
  <si>
    <t>DOCUMENT PROCESSING FEE</t>
  </si>
  <si>
    <t>CUSTOMS INSPECTION (PRO Requirement)</t>
  </si>
  <si>
    <t>CUSTOMS DUTY OUTLAY FEE</t>
  </si>
  <si>
    <t>EXPORT CUSTOMS CLEARANCE FEE</t>
  </si>
  <si>
    <t>102-08566354-25</t>
  </si>
  <si>
    <t>TIMESTAMP</t>
  </si>
  <si>
    <t>TAG</t>
  </si>
  <si>
    <t>MESSAGE</t>
  </si>
  <si>
    <t>USER</t>
  </si>
  <si>
    <t>PIPELINE</t>
  </si>
  <si>
    <t>START</t>
  </si>
  <si>
    <t>SAMSUNG</t>
  </si>
  <si>
    <t>ExtractFormulas</t>
  </si>
  <si>
    <t>BEGIN</t>
  </si>
  <si>
    <t>Formula</t>
  </si>
  <si>
    <t>=535/3.6725</t>
  </si>
  <si>
    <t>=25/3.6725</t>
  </si>
  <si>
    <t>=175/3.6725</t>
  </si>
  <si>
    <t>=30/3.6725</t>
  </si>
  <si>
    <t>=80/3.6725</t>
  </si>
  <si>
    <t>=150/3.6725</t>
  </si>
  <si>
    <t>=(25+55)/3.6725</t>
  </si>
  <si>
    <t>=27/3.6725</t>
  </si>
  <si>
    <t>=35/3.6725</t>
  </si>
  <si>
    <t>=29.38/3.6725</t>
  </si>
  <si>
    <t>=130/3.6725</t>
  </si>
  <si>
    <t>=(420/2)+600</t>
  </si>
  <si>
    <t>END 0.12s</t>
  </si>
  <si>
    <t>END 0.04s</t>
  </si>
  <si>
    <t>ExtractFormulasWithExclusion</t>
  </si>
  <si>
    <t>OK</t>
  </si>
  <si>
    <t>ApplyFormula</t>
  </si>
  <si>
    <t>REV RATE</t>
  </si>
  <si>
    <t>REV TOTAL</t>
  </si>
  <si>
    <t>DIFFERENCE</t>
  </si>
  <si>
    <t>REV RATE</t>
    <phoneticPr fontId="3" type="noConversion"/>
  </si>
  <si>
    <t>REV TOTAL</t>
    <phoneticPr fontId="3" type="noConversion"/>
  </si>
  <si>
    <t>DIFFERENCE</t>
    <phoneticPr fontId="3" type="noConversion"/>
  </si>
  <si>
    <t>END 0.15s</t>
  </si>
  <si>
    <t>ApplyFormula_ByDynamicRemark_ExactTotal_Safe</t>
  </si>
  <si>
    <t>CWI Job Number</t>
  </si>
  <si>
    <t>Order Ref. Number</t>
  </si>
  <si>
    <t>CompileAllSheets</t>
  </si>
  <si>
    <t>END 147.48s</t>
  </si>
  <si>
    <t>Verdict</t>
  </si>
  <si>
    <t>Attachments / Evidence</t>
  </si>
  <si>
    <t>Decision Logic (basis → calc)</t>
  </si>
  <si>
    <t>PASS</t>
  </si>
  <si>
    <r>
      <t>SupportingDocs.pdf</t>
    </r>
    <r>
      <rPr>
        <sz val="11"/>
        <color theme="1"/>
        <rFont val="맑은 고딕"/>
        <family val="2"/>
        <scheme val="minor"/>
      </rPr>
      <t xml:space="preserve"> — BOE p.1</t>
    </r>
  </si>
  <si>
    <r>
      <t xml:space="preserve">Flat BOE filing fee </t>
    </r>
    <r>
      <rPr>
        <b/>
        <sz val="11"/>
        <color theme="1"/>
        <rFont val="맑은 고딕"/>
        <family val="3"/>
        <charset val="129"/>
        <scheme val="minor"/>
      </rPr>
      <t>150.00</t>
    </r>
    <r>
      <rPr>
        <sz val="11"/>
        <color theme="1"/>
        <rFont val="맑은 고딕"/>
        <family val="2"/>
        <scheme val="minor"/>
      </rPr>
      <t xml:space="preserve"> confirmed.</t>
    </r>
  </si>
  <si>
    <r>
      <t>BOE p.1</t>
    </r>
    <r>
      <rPr>
        <sz val="11"/>
        <color theme="1"/>
        <rFont val="맑은 고딕"/>
        <family val="2"/>
        <scheme val="minor"/>
      </rPr>
      <t xml:space="preserve"> (lines </t>
    </r>
    <r>
      <rPr>
        <b/>
        <sz val="11"/>
        <color theme="1"/>
        <rFont val="맑은 고딕"/>
        <family val="3"/>
        <charset val="129"/>
        <scheme val="minor"/>
      </rPr>
      <t>RGCH 70.00</t>
    </r>
    <r>
      <rPr>
        <sz val="11"/>
        <color theme="1"/>
        <rFont val="맑은 고딕"/>
        <family val="2"/>
        <scheme val="minor"/>
      </rPr>
      <t xml:space="preserve">, </t>
    </r>
    <r>
      <rPr>
        <b/>
        <sz val="11"/>
        <color theme="1"/>
        <rFont val="맑은 고딕"/>
        <family val="3"/>
        <charset val="129"/>
        <scheme val="minor"/>
      </rPr>
      <t>KDID 20.00</t>
    </r>
    <r>
      <rPr>
        <sz val="11"/>
        <color theme="1"/>
        <rFont val="맑은 고딕"/>
        <family val="2"/>
        <scheme val="minor"/>
      </rPr>
      <t>)</t>
    </r>
  </si>
  <si>
    <r>
      <t>70 + 20 = 90 AED → 90 / 3.6725 = 24.51 USD</t>
    </r>
    <r>
      <rPr>
        <sz val="11"/>
        <color theme="1"/>
        <rFont val="맑은 고딕"/>
        <family val="2"/>
        <scheme val="minor"/>
      </rPr>
      <t xml:space="preserve"> (2 d.p.).</t>
    </r>
  </si>
  <si>
    <t>PASS*</t>
  </si>
  <si>
    <t>Broker receipt / agent invoice</t>
  </si>
  <si>
    <r>
      <t xml:space="preserve">Implied FX check: </t>
    </r>
    <r>
      <rPr>
        <b/>
        <sz val="11"/>
        <color theme="1"/>
        <rFont val="맑은 고딕"/>
        <family val="3"/>
        <charset val="129"/>
        <scheme val="minor"/>
      </rPr>
      <t>≈57.73 AED → 57.73 / 3.6725 = 15.72 USD</t>
    </r>
    <r>
      <rPr>
        <sz val="11"/>
        <color theme="1"/>
        <rFont val="맑은 고딕"/>
        <family val="2"/>
        <scheme val="minor"/>
      </rPr>
      <t>. Keep receipt on file.</t>
    </r>
  </si>
  <si>
    <t>ATLP/Maqta gate-pass receipt</t>
  </si>
  <si>
    <r>
      <t>8.58 × 3.6725 = 31.51 AED</t>
    </r>
    <r>
      <rPr>
        <sz val="11"/>
        <color theme="1"/>
        <rFont val="맑은 고딕"/>
        <family val="2"/>
        <scheme val="minor"/>
      </rPr>
      <t>; small administrative pass fee.</t>
    </r>
  </si>
  <si>
    <t>Dubai Trade / Port invoice</t>
  </si>
  <si>
    <r>
      <t>315.00 AED / 3.6725 = 85.77 USD</t>
    </r>
    <r>
      <rPr>
        <sz val="11"/>
        <color theme="1"/>
        <rFont val="맑은 고딕"/>
        <family val="2"/>
        <scheme val="minor"/>
      </rPr>
      <t xml:space="preserve"> (standard tariff).</t>
    </r>
  </si>
  <si>
    <t>Inspection request / completion note</t>
  </si>
  <si>
    <r>
      <t xml:space="preserve">Fixed handling </t>
    </r>
    <r>
      <rPr>
        <b/>
        <sz val="11"/>
        <color theme="1"/>
        <rFont val="맑은 고딕"/>
        <family val="3"/>
        <charset val="129"/>
        <scheme val="minor"/>
      </rPr>
      <t>125.00</t>
    </r>
    <r>
      <rPr>
        <sz val="11"/>
        <color theme="1"/>
        <rFont val="맑은 고딕"/>
        <family val="2"/>
        <scheme val="minor"/>
      </rPr>
      <t>; no overlap with other lines.</t>
    </r>
  </si>
  <si>
    <t>PRO memo / broker invoice</t>
  </si>
  <si>
    <t>Government liaison service (flat); distinct from #6.</t>
  </si>
  <si>
    <r>
      <t>BOE p.1</t>
    </r>
    <r>
      <rPr>
        <sz val="11"/>
        <color theme="1"/>
        <rFont val="맑은 고딕"/>
        <family val="2"/>
        <scheme val="minor"/>
      </rPr>
      <t xml:space="preserve"> (customs duty </t>
    </r>
    <r>
      <rPr>
        <b/>
        <sz val="11"/>
        <color theme="1"/>
        <rFont val="맑은 고딕"/>
        <family val="3"/>
        <charset val="129"/>
        <scheme val="minor"/>
      </rPr>
      <t>145,310 AED</t>
    </r>
    <r>
      <rPr>
        <sz val="11"/>
        <color theme="1"/>
        <rFont val="맑은 고딕"/>
        <family val="2"/>
        <scheme val="minor"/>
      </rPr>
      <t>)</t>
    </r>
  </si>
  <si>
    <r>
      <t>145,310 × 5% = 7,265.50 AED → 7,265.50 / 3.6725 = 1,978.35 USD</t>
    </r>
    <r>
      <rPr>
        <sz val="11"/>
        <color theme="1"/>
        <rFont val="맑은 고딕"/>
        <family val="2"/>
        <scheme val="minor"/>
      </rPr>
      <t xml:space="preserve"> (2 d.p.).</t>
    </r>
  </si>
  <si>
    <t>Broker invoice</t>
  </si>
  <si>
    <r>
      <t xml:space="preserve">Implied base </t>
    </r>
    <r>
      <rPr>
        <b/>
        <sz val="11"/>
        <color theme="1"/>
        <rFont val="맑은 고딕"/>
        <family val="3"/>
        <charset val="129"/>
        <scheme val="minor"/>
      </rPr>
      <t>315.00 AED → / 3.6725 = 85.77 USD</t>
    </r>
    <r>
      <rPr>
        <sz val="11"/>
        <color theme="1"/>
        <rFont val="맑은 고딕"/>
        <family val="2"/>
        <scheme val="minor"/>
      </rPr>
      <t>. Keep receipt on file.</t>
    </r>
  </si>
  <si>
    <t>Detailed receipt</t>
  </si>
  <si>
    <r>
      <t xml:space="preserve">Implied base </t>
    </r>
    <r>
      <rPr>
        <b/>
        <sz val="11"/>
        <color theme="1"/>
        <rFont val="맑은 고딕"/>
        <family val="3"/>
        <charset val="129"/>
        <scheme val="minor"/>
      </rPr>
      <t>250.00 AED → / 3.6725 = 68.07 USD</t>
    </r>
    <r>
      <rPr>
        <sz val="11"/>
        <color theme="1"/>
        <rFont val="맑은 고딕"/>
        <family val="2"/>
        <scheme val="minor"/>
      </rPr>
      <t>. Label should match the receipt name.</t>
    </r>
  </si>
  <si>
    <t>DO/agent invoice in packet (standard flat)</t>
  </si>
  <si>
    <t>Flat DO fee 150.00; no duplication with export clearance.</t>
  </si>
  <si>
    <r>
      <t xml:space="preserve">Charges email/worksheet showing </t>
    </r>
    <r>
      <rPr>
        <b/>
        <sz val="11"/>
        <color theme="1"/>
        <rFont val="맑은 고딕"/>
        <family val="3"/>
        <charset val="129"/>
        <scheme val="minor"/>
      </rPr>
      <t>AED 73.50</t>
    </r>
    <r>
      <rPr>
        <sz val="11"/>
        <color theme="1"/>
        <rFont val="맑은 고딕"/>
        <family val="2"/>
        <scheme val="minor"/>
      </rPr>
      <t xml:space="preserve"> at actuals</t>
    </r>
  </si>
  <si>
    <r>
      <t>73.50 ÷ 3.6725 = 20.01 USD</t>
    </r>
    <r>
      <rPr>
        <sz val="11"/>
        <color theme="1"/>
        <rFont val="맑은 고딕"/>
        <family val="2"/>
        <scheme val="minor"/>
      </rPr>
      <t xml:space="preserve"> (2 d.p.).</t>
    </r>
  </si>
  <si>
    <t>Quoted charge list / inspection request</t>
  </si>
  <si>
    <t>Fixed per-shipment handling; no overlap.</t>
  </si>
  <si>
    <t>Quoted charge list / PRO note</t>
  </si>
  <si>
    <t>Fixed per-shipment PRO handling; distinct from line #3.</t>
  </si>
  <si>
    <r>
      <t xml:space="preserve">BOE page (duty </t>
    </r>
    <r>
      <rPr>
        <b/>
        <sz val="11"/>
        <color theme="1"/>
        <rFont val="맑은 고딕"/>
        <family val="3"/>
        <charset val="129"/>
        <scheme val="minor"/>
      </rPr>
      <t>72,655 AED</t>
    </r>
    <r>
      <rPr>
        <sz val="11"/>
        <color theme="1"/>
        <rFont val="맑은 고딕"/>
        <family val="2"/>
        <scheme val="minor"/>
      </rPr>
      <t xml:space="preserve">) + charge sheet “Outlay 5% on Duty </t>
    </r>
    <r>
      <rPr>
        <b/>
        <sz val="11"/>
        <color theme="1"/>
        <rFont val="맑은 고딕"/>
        <family val="3"/>
        <charset val="129"/>
        <scheme val="minor"/>
      </rPr>
      <t>3,632.75 AED</t>
    </r>
    <r>
      <rPr>
        <sz val="11"/>
        <color theme="1"/>
        <rFont val="맑은 고딕"/>
        <family val="2"/>
        <scheme val="minor"/>
      </rPr>
      <t>”</t>
    </r>
  </si>
  <si>
    <r>
      <t>72,655 × 5% = 3,632.75 AED ⇒ ÷3.6725 = 989.18 USD</t>
    </r>
    <r>
      <rPr>
        <sz val="11"/>
        <color theme="1"/>
        <rFont val="맑은 고딕"/>
        <family val="2"/>
        <scheme val="minor"/>
      </rPr>
      <t>.</t>
    </r>
  </si>
  <si>
    <r>
      <t xml:space="preserve">Quoted charge list (Exports clearance </t>
    </r>
    <r>
      <rPr>
        <b/>
        <sz val="11"/>
        <color theme="1"/>
        <rFont val="맑은 고딕"/>
        <family val="3"/>
        <charset val="129"/>
        <scheme val="minor"/>
      </rPr>
      <t>USD 150</t>
    </r>
    <r>
      <rPr>
        <sz val="11"/>
        <color theme="1"/>
        <rFont val="맑은 고딕"/>
        <family val="2"/>
        <scheme val="minor"/>
      </rPr>
      <t>)</t>
    </r>
  </si>
  <si>
    <t>Flat per document; separate from import BOE.</t>
  </si>
  <si>
    <t>Notes</t>
  </si>
  <si>
    <t>Decision Logic</t>
  </si>
  <si>
    <t>Clearing agent filing (flat)</t>
  </si>
  <si>
    <r>
      <t>SupportingDocs.pdf</t>
    </r>
    <r>
      <rPr>
        <sz val="11"/>
        <color theme="1"/>
        <rFont val="맑은 고딕"/>
        <family val="2"/>
        <scheme val="minor"/>
      </rPr>
      <t xml:space="preserve"> (BOE extract)</t>
    </r>
  </si>
  <si>
    <t>Standard BOE filing fee 150.00; amount matches.</t>
  </si>
  <si>
    <t>Port access pass</t>
  </si>
  <si>
    <r>
      <t>SupportingDocs.pdf</t>
    </r>
    <r>
      <rPr>
        <sz val="11"/>
        <color theme="1"/>
        <rFont val="맑은 고딕"/>
        <family val="2"/>
        <scheme val="minor"/>
      </rPr>
      <t xml:space="preserve"> (gate/port record or receipt)</t>
    </r>
  </si>
  <si>
    <r>
      <t xml:space="preserve">Check equals </t>
    </r>
    <r>
      <rPr>
        <b/>
        <sz val="11"/>
        <color theme="1"/>
        <rFont val="맑은 고딕"/>
        <family val="3"/>
        <charset val="129"/>
        <scheme val="minor"/>
      </rPr>
      <t>31.51 AED ÷ 3.6725</t>
    </r>
    <r>
      <rPr>
        <sz val="11"/>
        <color theme="1"/>
        <rFont val="맑은 고딕"/>
        <family val="2"/>
        <scheme val="minor"/>
      </rPr>
      <t xml:space="preserve"> = 8.58; receipt to be archived with packet.</t>
    </r>
  </si>
  <si>
    <t>Inspection arrangement</t>
  </si>
  <si>
    <r>
      <t>SupportingDocs.pdf</t>
    </r>
    <r>
      <rPr>
        <sz val="11"/>
        <color theme="1"/>
        <rFont val="맑은 고딕"/>
        <family val="2"/>
        <scheme val="minor"/>
      </rPr>
      <t xml:space="preserve"> (inspection note)</t>
    </r>
  </si>
  <si>
    <t>Fixed inspection handling; amount matches.</t>
  </si>
  <si>
    <t>Gov’t liaison</t>
  </si>
  <si>
    <r>
      <t>SupportingDocs.pdf</t>
    </r>
    <r>
      <rPr>
        <sz val="11"/>
        <color theme="1"/>
        <rFont val="맑은 고딕"/>
        <family val="2"/>
        <scheme val="minor"/>
      </rPr>
      <t xml:space="preserve"> (PRO memo)</t>
    </r>
  </si>
  <si>
    <t>Standard PRO handling fee; amount matches.</t>
  </si>
  <si>
    <r>
      <t xml:space="preserve">Basis: </t>
    </r>
    <r>
      <rPr>
        <b/>
        <sz val="11"/>
        <color theme="1"/>
        <rFont val="맑은 고딕"/>
        <family val="3"/>
        <charset val="129"/>
        <scheme val="minor"/>
      </rPr>
      <t>145,310 AED × 2.50% = 3,632.75 AED → ÷ 3.6725 = 989.18 USD</t>
    </r>
    <r>
      <rPr>
        <sz val="11"/>
        <color theme="1"/>
        <rFont val="맑은 고딕"/>
        <family val="2"/>
        <scheme val="minor"/>
      </rPr>
      <t>. Amount correct; label updated.</t>
    </r>
  </si>
  <si>
    <t>Air DO</t>
  </si>
  <si>
    <r>
      <t>DO:</t>
    </r>
    <r>
      <rPr>
        <sz val="11"/>
        <color theme="1"/>
        <rFont val="맑은 고딕"/>
        <family val="2"/>
        <scheme val="minor"/>
      </rPr>
      <t xml:space="preserve"> HVDC-ADOPT-SCT-0134_DO.pdf (MAWB/HAWB match to airport docs)</t>
    </r>
  </si>
  <si>
    <t>BOE ref.</t>
  </si>
  <si>
    <r>
      <t>Delivery Notification</t>
    </r>
    <r>
      <rPr>
        <sz val="11"/>
        <color theme="1"/>
        <rFont val="맑은 고딕"/>
        <family val="2"/>
        <scheme val="minor"/>
      </rPr>
      <t xml:space="preserve"> shows MAWB </t>
    </r>
    <r>
      <rPr>
        <b/>
        <sz val="11"/>
        <color theme="1"/>
        <rFont val="맑은 고딕"/>
        <family val="3"/>
        <charset val="129"/>
        <scheme val="minor"/>
      </rPr>
      <t>176-19855570</t>
    </r>
    <r>
      <rPr>
        <sz val="11"/>
        <color theme="1"/>
        <rFont val="맑은 고딕"/>
        <family val="2"/>
        <scheme val="minor"/>
      </rPr>
      <t xml:space="preserve">, HAWB </t>
    </r>
    <r>
      <rPr>
        <b/>
        <sz val="11"/>
        <color theme="1"/>
        <rFont val="맑은 고딕"/>
        <family val="3"/>
        <charset val="129"/>
        <scheme val="minor"/>
      </rPr>
      <t>ELA2509028</t>
    </r>
    <r>
      <rPr>
        <sz val="11"/>
        <color theme="1"/>
        <rFont val="맑은 고딕"/>
        <family val="2"/>
        <scheme val="minor"/>
      </rPr>
      <t xml:space="preserve">, CH WT </t>
    </r>
    <r>
      <rPr>
        <b/>
        <sz val="11"/>
        <color theme="1"/>
        <rFont val="맑은 고딕"/>
        <family val="3"/>
        <charset val="129"/>
        <scheme val="minor"/>
      </rPr>
      <t>2,178 kg</t>
    </r>
    <r>
      <rPr>
        <sz val="11"/>
        <color theme="1"/>
        <rFont val="맑은 고딕"/>
        <family val="2"/>
        <scheme val="minor"/>
      </rPr>
      <t xml:space="preserve"> (pgs.1–2).</t>
    </r>
  </si>
  <si>
    <t>Standard clearance fee 150.00 ×1; shipment IDs consistent → PASS.</t>
  </si>
  <si>
    <t>Per-kg THC</t>
  </si>
  <si>
    <r>
      <t>Charges Summary</t>
    </r>
    <r>
      <rPr>
        <sz val="11"/>
        <color theme="1"/>
        <rFont val="맑은 고딕"/>
        <family val="2"/>
        <scheme val="minor"/>
      </rPr>
      <t xml:space="preserve"> shows CH WT </t>
    </r>
    <r>
      <rPr>
        <b/>
        <sz val="11"/>
        <color theme="1"/>
        <rFont val="맑은 고딕"/>
        <family val="3"/>
        <charset val="129"/>
        <scheme val="minor"/>
      </rPr>
      <t>2,178.00 kg</t>
    </r>
    <r>
      <rPr>
        <sz val="11"/>
        <color theme="1"/>
        <rFont val="맑은 고딕"/>
        <family val="2"/>
        <scheme val="minor"/>
      </rPr>
      <t>; same MAWB/HAWB.</t>
    </r>
  </si>
  <si>
    <r>
      <t xml:space="preserve">Contract THC 0.55 × </t>
    </r>
    <r>
      <rPr>
        <b/>
        <sz val="11"/>
        <color theme="1"/>
        <rFont val="맑은 고딕"/>
        <family val="3"/>
        <charset val="129"/>
        <scheme val="minor"/>
      </rPr>
      <t>2,178 kg</t>
    </r>
    <r>
      <rPr>
        <sz val="11"/>
        <color theme="1"/>
        <rFont val="맑은 고딕"/>
        <family val="2"/>
        <scheme val="minor"/>
      </rPr>
      <t xml:space="preserve"> = </t>
    </r>
    <r>
      <rPr>
        <b/>
        <sz val="11"/>
        <color theme="1"/>
        <rFont val="맑은 고딕"/>
        <family val="3"/>
        <charset val="129"/>
        <scheme val="minor"/>
      </rPr>
      <t>1,197.90</t>
    </r>
    <r>
      <rPr>
        <sz val="11"/>
        <color theme="1"/>
        <rFont val="맑은 고딕"/>
        <family val="2"/>
        <scheme val="minor"/>
      </rPr>
      <t xml:space="preserve"> → PASS.</t>
    </r>
  </si>
  <si>
    <t>One-way</t>
  </si>
  <si>
    <r>
      <t>DN (3-Ton PU)</t>
    </r>
    <r>
      <rPr>
        <sz val="11"/>
        <color theme="1"/>
        <rFont val="맑은 고딕"/>
        <family val="2"/>
        <scheme val="minor"/>
      </rPr>
      <t xml:space="preserve"> shows “3 Ton PU – AUH Airport to </t>
    </r>
    <r>
      <rPr>
        <b/>
        <sz val="11"/>
        <color theme="1"/>
        <rFont val="맑은 고딕"/>
        <family val="3"/>
        <charset val="129"/>
        <scheme val="minor"/>
      </rPr>
      <t>SAMSUNG MOSB YARD</t>
    </r>
    <r>
      <rPr>
        <sz val="11"/>
        <color theme="1"/>
        <rFont val="맑은 고딕"/>
        <family val="2"/>
        <scheme val="minor"/>
      </rPr>
      <t xml:space="preserve">”, Trip </t>
    </r>
    <r>
      <rPr>
        <b/>
        <sz val="11"/>
        <color theme="1"/>
        <rFont val="맑은 고딕"/>
        <family val="3"/>
        <charset val="129"/>
        <scheme val="minor"/>
      </rPr>
      <t>2609259090AUH</t>
    </r>
    <r>
      <rPr>
        <sz val="11"/>
        <color theme="1"/>
        <rFont val="맑은 고딕"/>
        <family val="2"/>
        <scheme val="minor"/>
      </rPr>
      <t xml:space="preserve"> (signed 2025-09-29 12:19).</t>
    </r>
  </si>
  <si>
    <t>Contract lane rate 100.00 per job; DN verifies route/completion → PASS.</t>
  </si>
  <si>
    <t>Formula =(420/2)+600</t>
  </si>
  <si>
    <r>
      <t>DN (1 FB)</t>
    </r>
    <r>
      <rPr>
        <sz val="11"/>
        <color theme="1"/>
        <rFont val="맑은 고딕"/>
        <family val="2"/>
        <scheme val="minor"/>
      </rPr>
      <t xml:space="preserve"> shows “1 FB – AUH Airport to </t>
    </r>
    <r>
      <rPr>
        <b/>
        <sz val="11"/>
        <color theme="1"/>
        <rFont val="맑은 고딕"/>
        <family val="3"/>
        <charset val="129"/>
        <scheme val="minor"/>
      </rPr>
      <t>MIRFA PMO SAMSUNG</t>
    </r>
    <r>
      <rPr>
        <sz val="11"/>
        <color theme="1"/>
        <rFont val="맑은 고딕"/>
        <family val="2"/>
        <scheme val="minor"/>
      </rPr>
      <t xml:space="preserve">” (Trip </t>
    </r>
    <r>
      <rPr>
        <b/>
        <sz val="11"/>
        <color theme="1"/>
        <rFont val="맑은 고딕"/>
        <family val="3"/>
        <charset val="129"/>
        <scheme val="minor"/>
      </rPr>
      <t>2609259091AUH</t>
    </r>
    <r>
      <rPr>
        <sz val="11"/>
        <color theme="1"/>
        <rFont val="맑은 고딕"/>
        <family val="2"/>
        <scheme val="minor"/>
      </rPr>
      <t xml:space="preserve">) and “1 FB – AUH Airport to </t>
    </r>
    <r>
      <rPr>
        <b/>
        <sz val="11"/>
        <color theme="1"/>
        <rFont val="맑은 고딕"/>
        <family val="3"/>
        <charset val="129"/>
        <scheme val="minor"/>
      </rPr>
      <t>SHUWEIHAT POWER STATION</t>
    </r>
    <r>
      <rPr>
        <sz val="11"/>
        <color theme="1"/>
        <rFont val="맑은 고딕"/>
        <family val="2"/>
        <scheme val="minor"/>
      </rPr>
      <t xml:space="preserve">” (Trip </t>
    </r>
    <r>
      <rPr>
        <b/>
        <sz val="11"/>
        <color theme="1"/>
        <rFont val="맑은 고딕"/>
        <family val="3"/>
        <charset val="129"/>
        <scheme val="minor"/>
      </rPr>
      <t>2609259093AUH</t>
    </r>
    <r>
      <rPr>
        <sz val="11"/>
        <color theme="1"/>
        <rFont val="맑은 고딕"/>
        <family val="2"/>
        <scheme val="minor"/>
      </rPr>
      <t>).</t>
    </r>
  </si>
  <si>
    <r>
      <t xml:space="preserve">Contract math: Mirfa </t>
    </r>
    <r>
      <rPr>
        <b/>
        <sz val="11"/>
        <color theme="1"/>
        <rFont val="맑은 고딕"/>
        <family val="3"/>
        <charset val="129"/>
        <scheme val="minor"/>
      </rPr>
      <t>420.00</t>
    </r>
    <r>
      <rPr>
        <sz val="11"/>
        <color theme="1"/>
        <rFont val="맑은 고딕"/>
        <family val="2"/>
        <scheme val="minor"/>
      </rPr>
      <t xml:space="preserve"> split half (</t>
    </r>
    <r>
      <rPr>
        <b/>
        <sz val="11"/>
        <color theme="1"/>
        <rFont val="맑은 고딕"/>
        <family val="3"/>
        <charset val="129"/>
        <scheme val="minor"/>
      </rPr>
      <t>210.00</t>
    </r>
    <r>
      <rPr>
        <sz val="11"/>
        <color theme="1"/>
        <rFont val="맑은 고딕"/>
        <family val="2"/>
        <scheme val="minor"/>
      </rPr>
      <t xml:space="preserve">) + Shuweihat </t>
    </r>
    <r>
      <rPr>
        <b/>
        <sz val="11"/>
        <color theme="1"/>
        <rFont val="맑은 고딕"/>
        <family val="3"/>
        <charset val="129"/>
        <scheme val="minor"/>
      </rPr>
      <t>600.00</t>
    </r>
    <r>
      <rPr>
        <sz val="11"/>
        <color theme="1"/>
        <rFont val="맑은 고딕"/>
        <family val="2"/>
        <scheme val="minor"/>
      </rPr>
      <t xml:space="preserve"> = </t>
    </r>
    <r>
      <rPr>
        <b/>
        <sz val="11"/>
        <color theme="1"/>
        <rFont val="맑은 고딕"/>
        <family val="3"/>
        <charset val="129"/>
        <scheme val="minor"/>
      </rPr>
      <t>810.00</t>
    </r>
    <r>
      <rPr>
        <sz val="11"/>
        <color theme="1"/>
        <rFont val="맑은 고딕"/>
        <family val="2"/>
        <scheme val="minor"/>
      </rPr>
      <t>; DNs confirm two drops → PASS.</t>
    </r>
  </si>
  <si>
    <r>
      <t>Charges Summary</t>
    </r>
    <r>
      <rPr>
        <sz val="11"/>
        <color theme="1"/>
        <rFont val="맑은 고딕"/>
        <family val="2"/>
        <scheme val="minor"/>
      </rPr>
      <t xml:space="preserve"> lists </t>
    </r>
    <r>
      <rPr>
        <b/>
        <sz val="11"/>
        <color theme="1"/>
        <rFont val="맑은 고딕"/>
        <family val="3"/>
        <charset val="129"/>
        <scheme val="minor"/>
      </rPr>
      <t>DPC AED 35.00</t>
    </r>
    <r>
      <rPr>
        <sz val="11"/>
        <color theme="1"/>
        <rFont val="맑은 고딕"/>
        <family val="2"/>
        <scheme val="minor"/>
      </rPr>
      <t xml:space="preserve"> (VAT 0%).</t>
    </r>
  </si>
  <si>
    <r>
      <t xml:space="preserve">At-cost conversion </t>
    </r>
    <r>
      <rPr>
        <b/>
        <sz val="11"/>
        <color theme="1"/>
        <rFont val="맑은 고딕"/>
        <family val="3"/>
        <charset val="129"/>
        <scheme val="minor"/>
      </rPr>
      <t>35/3.6725 = 9.53 USD</t>
    </r>
    <r>
      <rPr>
        <sz val="11"/>
        <color theme="1"/>
        <rFont val="맑은 고딕"/>
        <family val="2"/>
        <scheme val="minor"/>
      </rPr>
      <t xml:space="preserve"> (ex-VAT) → PASS.</t>
    </r>
  </si>
  <si>
    <r>
      <t>Charges Summary</t>
    </r>
    <r>
      <rPr>
        <sz val="11"/>
        <color theme="1"/>
        <rFont val="맑은 고딕"/>
        <family val="2"/>
        <scheme val="minor"/>
      </rPr>
      <t xml:space="preserve"> lists </t>
    </r>
    <r>
      <rPr>
        <b/>
        <sz val="11"/>
        <color theme="1"/>
        <rFont val="맑은 고딕"/>
        <family val="3"/>
        <charset val="129"/>
        <scheme val="minor"/>
      </rPr>
      <t>Appointment AED 27.00</t>
    </r>
    <r>
      <rPr>
        <sz val="11"/>
        <color theme="1"/>
        <rFont val="맑은 고딕"/>
        <family val="2"/>
        <scheme val="minor"/>
      </rPr>
      <t xml:space="preserve"> (VAT 0%); </t>
    </r>
    <r>
      <rPr>
        <b/>
        <sz val="11"/>
        <color theme="1"/>
        <rFont val="맑은 고딕"/>
        <family val="3"/>
        <charset val="129"/>
        <scheme val="minor"/>
      </rPr>
      <t>Import Appointment Summary</t>
    </r>
    <r>
      <rPr>
        <sz val="11"/>
        <color theme="1"/>
        <rFont val="맑은 고딕"/>
        <family val="2"/>
        <scheme val="minor"/>
      </rPr>
      <t xml:space="preserve"> ties to same MAWB/HAWB &amp; driver slots.</t>
    </r>
  </si>
  <si>
    <r>
      <t xml:space="preserve">At-cost conversion </t>
    </r>
    <r>
      <rPr>
        <b/>
        <sz val="11"/>
        <color theme="1"/>
        <rFont val="맑은 고딕"/>
        <family val="3"/>
        <charset val="129"/>
        <scheme val="minor"/>
      </rPr>
      <t>27/3.6725 = 7.35 USD</t>
    </r>
    <r>
      <rPr>
        <sz val="11"/>
        <color theme="1"/>
        <rFont val="맑은 고딕"/>
        <family val="2"/>
        <scheme val="minor"/>
      </rPr>
      <t xml:space="preserve"> (ex-VAT) → PASS.</t>
    </r>
  </si>
  <si>
    <t>DO shows 1×40HC</t>
  </si>
  <si>
    <r>
      <t>DO:</t>
    </r>
    <r>
      <rPr>
        <sz val="11"/>
        <color theme="1"/>
        <rFont val="맑은 고딕"/>
        <family val="2"/>
        <scheme val="minor"/>
      </rPr>
      <t xml:space="preserve"> D/O No. 22501743; 1×40HC HMMU6089377 (page 1).</t>
    </r>
  </si>
  <si>
    <t>Contract DO=150.00; DO confirms container &amp; BL (SELA26992900) → amounts match → PASS.</t>
  </si>
  <si>
    <t>BOE ref</t>
  </si>
  <si>
    <t>(Carrier/port docs reference same BL &amp; ctr) DO page 1 shows BL SELA26992900.</t>
  </si>
  <si>
    <t>Standard clearance 150.00 ×1; IDs align with DO/Carrier docs → PASS.</t>
  </si>
  <si>
    <t>CSP terminal</t>
  </si>
  <si>
    <r>
      <t>DO:</t>
    </r>
    <r>
      <rPr>
        <sz val="11"/>
        <color theme="1"/>
        <rFont val="맑은 고딕"/>
        <family val="2"/>
        <scheme val="minor"/>
      </rPr>
      <t xml:space="preserve"> terminal CSP-ADP CT; 1×40HC.</t>
    </r>
  </si>
  <si>
    <t>Contract THC(40HC)=479.00; DO confirms equipment/terminal → PASS.</t>
  </si>
  <si>
    <r>
      <t>DN:</t>
    </r>
    <r>
      <rPr>
        <sz val="11"/>
        <color theme="1"/>
        <rFont val="맑은 고딕"/>
        <family val="2"/>
        <scheme val="minor"/>
      </rPr>
      <t xml:space="preserve"> Delivery Note 0925-24503AUH shows “1 FB (1×40HC HMMU6089377) from KP to DSV Mussafah Yard”.</t>
    </r>
  </si>
  <si>
    <t>Lane KP→DSV at standard 252.00/ctr; DN confirms route and container → PASS.</t>
  </si>
  <si>
    <r>
      <t>Carrier Tax Invoice (RHS):</t>
    </r>
    <r>
      <rPr>
        <sz val="11"/>
        <color theme="1"/>
        <rFont val="맑은 고딕"/>
        <family val="2"/>
        <scheme val="minor"/>
      </rPr>
      <t xml:space="preserve"> “Equipment Repositioning Surcharge USD 8.00 (ROE 3.6725 → 29.38 AED)”.</t>
    </r>
  </si>
  <si>
    <t>At-cost: invoice states USD 8.00; FX note shown; draft uses same → PASS.</t>
  </si>
  <si>
    <r>
      <t>Carrier Tax Invoice (RHS):</t>
    </r>
    <r>
      <rPr>
        <sz val="11"/>
        <color theme="1"/>
        <rFont val="맑은 고딕"/>
        <family val="2"/>
        <scheme val="minor"/>
      </rPr>
      <t xml:space="preserve"> “Container Inspection Fee AED 130.00 +5% VAT”.</t>
    </r>
  </si>
  <si>
    <r>
      <t>At-cost conversion 130/3.6725=</t>
    </r>
    <r>
      <rPr>
        <b/>
        <sz val="11"/>
        <color theme="1"/>
        <rFont val="맑은 고딕"/>
        <family val="3"/>
        <charset val="129"/>
        <scheme val="minor"/>
      </rPr>
      <t>35.40 USD</t>
    </r>
    <r>
      <rPr>
        <sz val="11"/>
        <color theme="1"/>
        <rFont val="맑은 고딕"/>
        <family val="2"/>
        <scheme val="minor"/>
      </rPr>
      <t xml:space="preserve"> (ex-VAT); matches → PASS.</t>
    </r>
  </si>
  <si>
    <r>
      <t>Carrier Tax Invoice (RHS):</t>
    </r>
    <r>
      <rPr>
        <sz val="11"/>
        <color theme="1"/>
        <rFont val="맑은 고딕"/>
        <family val="2"/>
        <scheme val="minor"/>
      </rPr>
      <t xml:space="preserve"> “Admin Charges AED 35.00 +5% VAT”.</t>
    </r>
  </si>
  <si>
    <r>
      <t>At-cost 35/3.6725=</t>
    </r>
    <r>
      <rPr>
        <b/>
        <sz val="11"/>
        <color theme="1"/>
        <rFont val="맑은 고딕"/>
        <family val="3"/>
        <charset val="129"/>
        <scheme val="minor"/>
      </rPr>
      <t>9.53 USD</t>
    </r>
    <r>
      <rPr>
        <sz val="11"/>
        <color theme="1"/>
        <rFont val="맑은 고딕"/>
        <family val="2"/>
        <scheme val="minor"/>
      </rPr>
      <t xml:space="preserve"> (ex-VAT); matches → PASS.</t>
    </r>
  </si>
  <si>
    <r>
      <t>Allied Port Invoice:</t>
    </r>
    <r>
      <rPr>
        <sz val="11"/>
        <color theme="1"/>
        <rFont val="맑은 고딕"/>
        <family val="2"/>
        <scheme val="minor"/>
      </rPr>
      <t xml:space="preserve"> “Admin &amp; Inspection Charges HMMU6089377 — AED 25.00 + VAT 1.25” (page 1).</t>
    </r>
  </si>
  <si>
    <r>
      <t>At-cost base AED 25 (VAT booked separately) → 25/3.6725=</t>
    </r>
    <r>
      <rPr>
        <b/>
        <sz val="11"/>
        <color theme="1"/>
        <rFont val="맑은 고딕"/>
        <family val="3"/>
        <charset val="129"/>
        <scheme val="minor"/>
      </rPr>
      <t>6.81 USD</t>
    </r>
    <r>
      <rPr>
        <sz val="11"/>
        <color theme="1"/>
        <rFont val="맑은 고딕"/>
        <family val="2"/>
        <scheme val="minor"/>
      </rPr>
      <t xml:space="preserve"> → PASS.</t>
    </r>
  </si>
  <si>
    <r>
      <t>Allied Port Invoice:</t>
    </r>
    <r>
      <rPr>
        <sz val="11"/>
        <color theme="1"/>
        <rFont val="맑은 고딕"/>
        <family val="2"/>
        <scheme val="minor"/>
      </rPr>
      <t xml:space="preserve"> “Washing Charges HMMU6089377 — AED 80.00 + VAT 4.00” (page 1).</t>
    </r>
  </si>
  <si>
    <r>
      <t>At-cost base AED 80 → 80/3.6725=</t>
    </r>
    <r>
      <rPr>
        <b/>
        <sz val="11"/>
        <color theme="1"/>
        <rFont val="맑은 고딕"/>
        <family val="3"/>
        <charset val="129"/>
        <scheme val="minor"/>
      </rPr>
      <t>21.78 USD</t>
    </r>
    <r>
      <rPr>
        <sz val="11"/>
        <color theme="1"/>
        <rFont val="맑은 고딕"/>
        <family val="2"/>
        <scheme val="minor"/>
      </rPr>
      <t xml:space="preserve"> (VAT separate) → PASS.</t>
    </r>
  </si>
  <si>
    <r>
      <t>DO:</t>
    </r>
    <r>
      <rPr>
        <sz val="11"/>
        <color theme="1"/>
        <rFont val="맑은 고딕"/>
        <family val="2"/>
        <scheme val="minor"/>
      </rPr>
      <t xml:space="preserve"> HVDC-ADOPT-SCT-0131_DO.pdf (DN no. 30002009071485, MAWB/HAWB match)</t>
    </r>
  </si>
  <si>
    <t>Contract DO fee = 80.00; DO confirms shipment IDs → amounts match → PASS.</t>
  </si>
  <si>
    <r>
      <t>BOE:</t>
    </r>
    <r>
      <rPr>
        <sz val="11"/>
        <color theme="1"/>
        <rFont val="맑은 고딕"/>
        <family val="2"/>
        <scheme val="minor"/>
      </rPr>
      <t xml:space="preserve"> HVDC-ADOPT-SCT-0131_BOE.pdf (MAWB 176-13032924, HAWB ELA2509004; CH WT 2,136 kg)</t>
    </r>
  </si>
  <si>
    <t>Standard clearance fee 150.00 ×1; BOE confirms same shipment → PASS.</t>
  </si>
  <si>
    <r>
      <t>Delivery Notification (EASC):</t>
    </r>
    <r>
      <rPr>
        <sz val="11"/>
        <color theme="1"/>
        <rFont val="맑은 고딕"/>
        <family val="2"/>
        <scheme val="minor"/>
      </rPr>
      <t xml:space="preserve"> CH WT 2,136.00 kg (pg.1)</t>
    </r>
  </si>
  <si>
    <t>Contract THC 0.55 × chargeable weight 2,136 kg = 1,174.80 → PASS.</t>
  </si>
  <si>
    <r>
      <t>DN (Road Freight):</t>
    </r>
    <r>
      <rPr>
        <sz val="11"/>
        <color theme="1"/>
        <rFont val="맑은 고딕"/>
        <family val="2"/>
        <scheme val="minor"/>
      </rPr>
      <t xml:space="preserve"> AUH Airport → Samsung MOSB Yard, 09/09/2025; receiver stamp present (Trip 0809255489AUH)</t>
    </r>
  </si>
  <si>
    <t>Contract lane rate 200.00 per FB; DN verifies route/completion → PASS.</t>
  </si>
  <si>
    <r>
      <t>Airport Charges Summary:</t>
    </r>
    <r>
      <rPr>
        <sz val="11"/>
        <color theme="1"/>
        <rFont val="맑은 고딕"/>
        <family val="2"/>
        <scheme val="minor"/>
      </rPr>
      <t xml:space="preserve"> Appointment AED 27.00 (VAT 0%); MAWB/HAWB match (pg.1)</t>
    </r>
  </si>
  <si>
    <r>
      <t xml:space="preserve">At-cost conversion AED 27 ÷ 3.6725 = </t>
    </r>
    <r>
      <rPr>
        <b/>
        <sz val="11"/>
        <color theme="1"/>
        <rFont val="맑은 고딕"/>
        <family val="3"/>
        <charset val="129"/>
        <scheme val="minor"/>
      </rPr>
      <t>7.35 USD</t>
    </r>
    <r>
      <rPr>
        <sz val="11"/>
        <color theme="1"/>
        <rFont val="맑은 고딕"/>
        <family val="2"/>
        <scheme val="minor"/>
      </rPr>
      <t xml:space="preserve"> (ex-VAT) → PASS.</t>
    </r>
  </si>
  <si>
    <r>
      <t>Airport Charges Summary:</t>
    </r>
    <r>
      <rPr>
        <sz val="11"/>
        <color theme="1"/>
        <rFont val="맑은 고딕"/>
        <family val="2"/>
        <scheme val="minor"/>
      </rPr>
      <t xml:space="preserve"> DPC AED 35.00 (VAT 0%) (pg.1)</t>
    </r>
  </si>
  <si>
    <r>
      <t xml:space="preserve">At-cost conversion AED 35 ÷ 3.6725 = </t>
    </r>
    <r>
      <rPr>
        <b/>
        <sz val="11"/>
        <color theme="1"/>
        <rFont val="맑은 고딕"/>
        <family val="3"/>
        <charset val="129"/>
        <scheme val="minor"/>
      </rPr>
      <t>9.53 USD</t>
    </r>
    <r>
      <rPr>
        <sz val="11"/>
        <color theme="1"/>
        <rFont val="맑은 고딕"/>
        <family val="2"/>
        <scheme val="minor"/>
      </rPr>
      <t xml:space="preserve"> (ex-VAT) → PASS.</t>
    </r>
  </si>
  <si>
    <t>1×20DC</t>
  </si>
  <si>
    <r>
      <t>DO:</t>
    </r>
    <r>
      <rPr>
        <sz val="11"/>
        <color theme="1"/>
        <rFont val="맑은 고딕"/>
        <family val="2"/>
        <scheme val="minor"/>
      </rPr>
      <t xml:space="preserve"> HVDC-ADOPT-SCT-0122_DO.pdf</t>
    </r>
  </si>
  <si>
    <t>DO shows 1×20DV FCIU5873065; contract DO fee 150.00 matches draft.</t>
  </si>
  <si>
    <r>
      <t>BOE:</t>
    </r>
    <r>
      <rPr>
        <sz val="11"/>
        <color theme="1"/>
        <rFont val="맑은 고딕"/>
        <family val="2"/>
        <scheme val="minor"/>
      </rPr>
      <t xml:space="preserve"> HVDC-ADOPT-SCT-0122_BOE.pdf</t>
    </r>
  </si>
  <si>
    <t>BOE confirms same shipment/container; standard clearance 150.00 ×1 aligns.</t>
  </si>
  <si>
    <t>Contract THC(20DC)=372.00; DO verifies 1×20DC.</t>
  </si>
  <si>
    <r>
      <t>DN:</t>
    </r>
    <r>
      <rPr>
        <sz val="11"/>
        <color theme="1"/>
        <rFont val="맑은 고딕"/>
        <family val="2"/>
        <scheme val="minor"/>
      </rPr>
      <t xml:space="preserve"> HVDC-ADOPT-SCT-0122_DN.pdf</t>
    </r>
  </si>
  <si>
    <t>DN shows KP→DSV lane for FCIU5873065; standard lane rate 252.00 applies.</t>
  </si>
  <si>
    <r>
      <t>Carrier Tax Invoice:</t>
    </r>
    <r>
      <rPr>
        <sz val="11"/>
        <color theme="1"/>
        <rFont val="맑은 고딕"/>
        <family val="2"/>
        <scheme val="minor"/>
      </rPr>
      <t xml:space="preserve"> HVDC-ADOPT-SCT-0122_CarrierInvoice.pdf</t>
    </r>
  </si>
  <si>
    <r>
      <t xml:space="preserve">Invoice lists </t>
    </r>
    <r>
      <rPr>
        <b/>
        <sz val="11"/>
        <color theme="1"/>
        <rFont val="맑은 고딕"/>
        <family val="3"/>
        <charset val="129"/>
        <scheme val="minor"/>
      </rPr>
      <t>CONTAINER INSPECTION FEE 150.00 AED</t>
    </r>
    <r>
      <rPr>
        <sz val="11"/>
        <color theme="1"/>
        <rFont val="맑은 고딕"/>
        <family val="2"/>
        <scheme val="minor"/>
      </rPr>
      <t xml:space="preserve"> → 150/3.6725 = </t>
    </r>
    <r>
      <rPr>
        <b/>
        <sz val="11"/>
        <color theme="1"/>
        <rFont val="맑은 고딕"/>
        <family val="3"/>
        <charset val="129"/>
        <scheme val="minor"/>
      </rPr>
      <t>40.84 USD</t>
    </r>
    <r>
      <rPr>
        <sz val="11"/>
        <color theme="1"/>
        <rFont val="맑은 고딕"/>
        <family val="2"/>
        <scheme val="minor"/>
      </rPr>
      <t xml:space="preserve"> (ex-VAT).</t>
    </r>
  </si>
  <si>
    <r>
      <t xml:space="preserve">Invoice lists </t>
    </r>
    <r>
      <rPr>
        <b/>
        <sz val="11"/>
        <color theme="1"/>
        <rFont val="맑은 고딕"/>
        <family val="3"/>
        <charset val="129"/>
        <scheme val="minor"/>
      </rPr>
      <t>ZDP-CONTR. PROTECTION FEE 30.00 AED</t>
    </r>
    <r>
      <rPr>
        <sz val="11"/>
        <color theme="1"/>
        <rFont val="맑은 고딕"/>
        <family val="2"/>
        <scheme val="minor"/>
      </rPr>
      <t xml:space="preserve"> → 30/3.6725 = </t>
    </r>
    <r>
      <rPr>
        <b/>
        <sz val="11"/>
        <color theme="1"/>
        <rFont val="맑은 고딕"/>
        <family val="3"/>
        <charset val="129"/>
        <scheme val="minor"/>
      </rPr>
      <t>8.17 USD</t>
    </r>
    <r>
      <rPr>
        <sz val="11"/>
        <color theme="1"/>
        <rFont val="맑은 고딕"/>
        <family val="2"/>
        <scheme val="minor"/>
      </rPr>
      <t>.</t>
    </r>
  </si>
  <si>
    <r>
      <t>CSP/Port Invoice:</t>
    </r>
    <r>
      <rPr>
        <sz val="11"/>
        <color theme="1"/>
        <rFont val="맑은 고딕"/>
        <family val="2"/>
        <scheme val="minor"/>
      </rPr>
      <t xml:space="preserve"> HVDC-ADOPT-SCT-0122_PortCNTInsp.pdf</t>
    </r>
  </si>
  <si>
    <r>
      <t xml:space="preserve">Port invoice shows </t>
    </r>
    <r>
      <rPr>
        <b/>
        <sz val="11"/>
        <color theme="1"/>
        <rFont val="맑은 고딕"/>
        <family val="3"/>
        <charset val="129"/>
        <scheme val="minor"/>
      </rPr>
      <t>Inspection 25 AED + Washing 55 AED = 80 AED</t>
    </r>
    <r>
      <rPr>
        <sz val="11"/>
        <color theme="1"/>
        <rFont val="맑은 고딕"/>
        <family val="2"/>
        <scheme val="minor"/>
      </rPr>
      <t xml:space="preserve"> → 80/3.6725 = </t>
    </r>
    <r>
      <rPr>
        <b/>
        <sz val="11"/>
        <color theme="1"/>
        <rFont val="맑은 고딕"/>
        <family val="3"/>
        <charset val="129"/>
        <scheme val="minor"/>
      </rPr>
      <t>21.78 USD</t>
    </r>
    <r>
      <rPr>
        <sz val="11"/>
        <color theme="1"/>
        <rFont val="맑은 고딕"/>
        <family val="2"/>
        <scheme val="minor"/>
      </rPr>
      <t xml:space="preserve"> (VAT booked separately).</t>
    </r>
  </si>
  <si>
    <r>
      <t>DO:</t>
    </r>
    <r>
      <rPr>
        <sz val="11"/>
        <color theme="1"/>
        <rFont val="맑은 고딕"/>
        <family val="2"/>
        <scheme val="minor"/>
      </rPr>
      <t xml:space="preserve"> HVDC-ADOPT-SCT-0127_DO.pdf</t>
    </r>
  </si>
  <si>
    <t>DO shows 1×20DC (EGHU3884150) for this shipment; contract rate 150.00 matches draft → PASS.</t>
  </si>
  <si>
    <r>
      <t>BOE:</t>
    </r>
    <r>
      <rPr>
        <sz val="11"/>
        <color theme="1"/>
        <rFont val="맑은 고딕"/>
        <family val="2"/>
        <scheme val="minor"/>
      </rPr>
      <t xml:space="preserve"> HVDC-ADOPT-SCT-0127_BOE.pdf</t>
    </r>
  </si>
  <si>
    <t>BOE lists the same B/L and container; standard clearance 150.00 ×1 aligns → PASS.</t>
  </si>
  <si>
    <t>Contract THC for 20DC = 372.00; DO confirms 1×20DC → PASS.</t>
  </si>
  <si>
    <r>
      <t>DN:</t>
    </r>
    <r>
      <rPr>
        <sz val="11"/>
        <color theme="1"/>
        <rFont val="맑은 고딕"/>
        <family val="2"/>
        <scheme val="minor"/>
      </rPr>
      <t xml:space="preserve"> HVDC-ADOPT-SCT-0127_DN.pdf</t>
    </r>
  </si>
  <si>
    <t>DN shows lane KP→DSV Mussafah for EGHU3884150; std lane rate 252.00 per ctr → PASS.</t>
  </si>
  <si>
    <t>ex-VAT</t>
  </si>
  <si>
    <r>
      <t>Carrier Tax Invoice:</t>
    </r>
    <r>
      <rPr>
        <sz val="11"/>
        <color theme="1"/>
        <rFont val="맑은 고딕"/>
        <family val="2"/>
        <scheme val="minor"/>
      </rPr>
      <t xml:space="preserve"> HVDC-ADOPT-SCT-0127_CarrierInvoice.pdf</t>
    </r>
  </si>
  <si>
    <r>
      <t xml:space="preserve">Carrier invoice lists </t>
    </r>
    <r>
      <rPr>
        <b/>
        <sz val="11"/>
        <color theme="1"/>
        <rFont val="맑은 고딕"/>
        <family val="3"/>
        <charset val="129"/>
        <scheme val="minor"/>
      </rPr>
      <t>ISPS/D 10.00 USD</t>
    </r>
    <r>
      <rPr>
        <sz val="11"/>
        <color theme="1"/>
        <rFont val="맑은 고딕"/>
        <family val="2"/>
        <scheme val="minor"/>
      </rPr>
      <t>; FX row shows ROE 1 USD=3.6725 AED → PASS.</t>
    </r>
  </si>
  <si>
    <r>
      <t xml:space="preserve">Invoice shows </t>
    </r>
    <r>
      <rPr>
        <b/>
        <sz val="11"/>
        <color theme="1"/>
        <rFont val="맑은 고딕"/>
        <family val="3"/>
        <charset val="129"/>
        <scheme val="minor"/>
      </rPr>
      <t>175.00 AED</t>
    </r>
    <r>
      <rPr>
        <sz val="11"/>
        <color theme="1"/>
        <rFont val="맑은 고딕"/>
        <family val="2"/>
        <scheme val="minor"/>
      </rPr>
      <t xml:space="preserve">; convert at fixed </t>
    </r>
    <r>
      <rPr>
        <b/>
        <sz val="11"/>
        <color theme="1"/>
        <rFont val="맑은 고딕"/>
        <family val="3"/>
        <charset val="129"/>
        <scheme val="minor"/>
      </rPr>
      <t>3.6725</t>
    </r>
    <r>
      <rPr>
        <sz val="11"/>
        <color theme="1"/>
        <rFont val="맑은 고딕"/>
        <family val="2"/>
        <scheme val="minor"/>
      </rPr>
      <t xml:space="preserve"> → </t>
    </r>
    <r>
      <rPr>
        <b/>
        <sz val="11"/>
        <color theme="1"/>
        <rFont val="맑은 고딕"/>
        <family val="3"/>
        <charset val="129"/>
        <scheme val="minor"/>
      </rPr>
      <t>47.65 USD</t>
    </r>
    <r>
      <rPr>
        <sz val="11"/>
        <color theme="1"/>
        <rFont val="맑은 고딕"/>
        <family val="2"/>
        <scheme val="minor"/>
      </rPr>
      <t xml:space="preserve"> (ex-VAT) → PASS.</t>
    </r>
  </si>
  <si>
    <r>
      <t>CSP MNR Tax Invoice:</t>
    </r>
    <r>
      <rPr>
        <sz val="11"/>
        <color theme="1"/>
        <rFont val="맑은 고딕"/>
        <family val="2"/>
        <scheme val="minor"/>
      </rPr>
      <t xml:space="preserve"> HVDC-ADOPT-SCT-0127_PortCNTInsp.pdf</t>
    </r>
  </si>
  <si>
    <r>
      <t xml:space="preserve">CSP invoice lists </t>
    </r>
    <r>
      <rPr>
        <b/>
        <sz val="11"/>
        <color theme="1"/>
        <rFont val="맑은 고딕"/>
        <family val="3"/>
        <charset val="129"/>
        <scheme val="minor"/>
      </rPr>
      <t>CONTAINER INSPECTION 30.00 AED</t>
    </r>
    <r>
      <rPr>
        <sz val="11"/>
        <color theme="1"/>
        <rFont val="맑은 고딕"/>
        <family val="2"/>
        <scheme val="minor"/>
      </rPr>
      <t xml:space="preserve"> for </t>
    </r>
    <r>
      <rPr>
        <b/>
        <sz val="11"/>
        <color theme="1"/>
        <rFont val="맑은 고딕"/>
        <family val="3"/>
        <charset val="129"/>
        <scheme val="minor"/>
      </rPr>
      <t>EGHU3884150</t>
    </r>
    <r>
      <rPr>
        <sz val="11"/>
        <color theme="1"/>
        <rFont val="맑은 고딕"/>
        <family val="2"/>
        <scheme val="minor"/>
      </rPr>
      <t xml:space="preserve"> (page 2). 30/3.6725=</t>
    </r>
    <r>
      <rPr>
        <b/>
        <sz val="11"/>
        <color theme="1"/>
        <rFont val="맑은 고딕"/>
        <family val="3"/>
        <charset val="129"/>
        <scheme val="minor"/>
      </rPr>
      <t>8.17 USD</t>
    </r>
    <r>
      <rPr>
        <sz val="11"/>
        <color theme="1"/>
        <rFont val="맑은 고딕"/>
        <family val="2"/>
        <scheme val="minor"/>
      </rPr>
      <t xml:space="preserve"> (VAT booked separately) → PASS.</t>
    </r>
  </si>
  <si>
    <r>
      <t>DO:</t>
    </r>
    <r>
      <rPr>
        <sz val="11"/>
        <color theme="1"/>
        <rFont val="맑은 고딕"/>
        <family val="2"/>
        <scheme val="minor"/>
      </rPr>
      <t xml:space="preserve"> </t>
    </r>
    <r>
      <rPr>
        <sz val="10"/>
        <color theme="1"/>
        <rFont val="Arial Unicode MS"/>
        <family val="2"/>
      </rPr>
      <t>HVDC-ADOPT-SCT-0126_DO.pdf</t>
    </r>
  </si>
  <si>
    <t>Contract rate 150.00 matches draft (Δ=0) → PASS</t>
  </si>
  <si>
    <r>
      <t>BOE:</t>
    </r>
    <r>
      <rPr>
        <sz val="11"/>
        <color theme="1"/>
        <rFont val="맑은 고딕"/>
        <family val="2"/>
        <scheme val="minor"/>
      </rPr>
      <t xml:space="preserve"> </t>
    </r>
    <r>
      <rPr>
        <sz val="10"/>
        <color theme="1"/>
        <rFont val="Arial Unicode MS"/>
        <family val="2"/>
      </rPr>
      <t>HVDC-ADOPT-SCT-0126_BOE.pdf</t>
    </r>
  </si>
  <si>
    <t>Contract 150.00 × qty 1 = 150.00; totals align → PASS</t>
  </si>
  <si>
    <r>
      <t>DO:</t>
    </r>
    <r>
      <rPr>
        <sz val="11"/>
        <color theme="1"/>
        <rFont val="맑은 고딕"/>
        <family val="2"/>
        <scheme val="minor"/>
      </rPr>
      <t xml:space="preserve"> </t>
    </r>
    <r>
      <rPr>
        <sz val="10"/>
        <color theme="1"/>
        <rFont val="Arial Unicode MS"/>
        <family val="2"/>
      </rPr>
      <t>…_DO.pdf</t>
    </r>
  </si>
  <si>
    <t>Contract THC (20DC) 372.00 exactly billed → PASS</t>
  </si>
  <si>
    <t>Contract THC (40HC) 479.00 ×2 = 958.00; matches → PASS</t>
  </si>
  <si>
    <r>
      <t>DN:</t>
    </r>
    <r>
      <rPr>
        <sz val="11"/>
        <color theme="1"/>
        <rFont val="맑은 고딕"/>
        <family val="2"/>
        <scheme val="minor"/>
      </rPr>
      <t xml:space="preserve"> </t>
    </r>
    <r>
      <rPr>
        <sz val="10"/>
        <color theme="1"/>
        <rFont val="Arial Unicode MS"/>
        <family val="2"/>
      </rPr>
      <t>HVDC-ADOPT-SCT-0126_DN (KP-DSV).pdf</t>
    </r>
  </si>
  <si>
    <t>Standard 252.00 per ctr ×3 = 756.00 (one-way) → PASS</t>
  </si>
  <si>
    <r>
      <t>DN:</t>
    </r>
    <r>
      <rPr>
        <sz val="11"/>
        <color theme="1"/>
        <rFont val="맑은 고딕"/>
        <family val="2"/>
        <scheme val="minor"/>
      </rPr>
      <t xml:space="preserve"> </t>
    </r>
    <r>
      <rPr>
        <sz val="10"/>
        <color theme="1"/>
        <rFont val="Arial Unicode MS"/>
        <family val="2"/>
      </rPr>
      <t>HVDC-ADOPT-SCT-0126_DN (DSV-KP) Empty Return.pdf</t>
    </r>
  </si>
  <si>
    <t>Same standard 252.00 per ctr ×3 = 756.00 (empty return) → PASS</t>
  </si>
  <si>
    <t>AED 535.00 ÷ 3.6725</t>
  </si>
  <si>
    <r>
      <t>Carrier Invoice:</t>
    </r>
    <r>
      <rPr>
        <sz val="11"/>
        <color theme="1"/>
        <rFont val="맑은 고딕"/>
        <family val="2"/>
        <scheme val="minor"/>
      </rPr>
      <t xml:space="preserve"> </t>
    </r>
    <r>
      <rPr>
        <sz val="10"/>
        <color theme="1"/>
        <rFont val="Arial Unicode MS"/>
        <family val="2"/>
      </rPr>
      <t>HVDC-ADOPT-SCT-0126_CarrierInvoice.pdf</t>
    </r>
  </si>
  <si>
    <r>
      <t xml:space="preserve">At-cost conversion: </t>
    </r>
    <r>
      <rPr>
        <b/>
        <sz val="11"/>
        <color theme="1"/>
        <rFont val="맑은 고딕"/>
        <family val="3"/>
        <charset val="129"/>
        <scheme val="minor"/>
      </rPr>
      <t>AED 535.00 ÷ 3.6725 = 145.68 USD</t>
    </r>
    <r>
      <rPr>
        <sz val="11"/>
        <color theme="1"/>
        <rFont val="맑은 고딕"/>
        <family val="2"/>
        <scheme val="minor"/>
      </rPr>
      <t xml:space="preserve"> (ex-VAT) → PASS</t>
    </r>
  </si>
  <si>
    <t>AED 25/ctr (VAT excl.)</t>
  </si>
  <si>
    <r>
      <t>Port Slip:</t>
    </r>
    <r>
      <rPr>
        <sz val="11"/>
        <color theme="1"/>
        <rFont val="맑은 고딕"/>
        <family val="2"/>
        <scheme val="minor"/>
      </rPr>
      <t xml:space="preserve"> </t>
    </r>
    <r>
      <rPr>
        <sz val="10"/>
        <color theme="1"/>
        <rFont val="Arial Unicode MS"/>
        <family val="2"/>
      </rPr>
      <t>HVDC-ADOPT-SCT-0126_PortCNTInspection.pdf</t>
    </r>
  </si>
  <si>
    <r>
      <t xml:space="preserve">At-cost: </t>
    </r>
    <r>
      <rPr>
        <b/>
        <sz val="11"/>
        <color theme="1"/>
        <rFont val="맑은 고딕"/>
        <family val="3"/>
        <charset val="129"/>
        <scheme val="minor"/>
      </rPr>
      <t>AED 25.00 ÷ 3.6725 = 6.81</t>
    </r>
    <r>
      <rPr>
        <sz val="11"/>
        <color theme="1"/>
        <rFont val="맑은 고딕"/>
        <family val="2"/>
        <scheme val="minor"/>
      </rPr>
      <t xml:space="preserve"> per ctr; ×3 = </t>
    </r>
    <r>
      <rPr>
        <b/>
        <sz val="11"/>
        <color theme="1"/>
        <rFont val="맑은 고딕"/>
        <family val="3"/>
        <charset val="129"/>
        <scheme val="minor"/>
      </rPr>
      <t>20.43</t>
    </r>
    <r>
      <rPr>
        <sz val="11"/>
        <color theme="1"/>
        <rFont val="맑은 고딕"/>
        <family val="2"/>
        <scheme val="minor"/>
      </rPr>
      <t>; VAT booked separately → PASS</t>
    </r>
  </si>
  <si>
    <t>No</t>
    <phoneticPr fontId="3" type="noConversion"/>
  </si>
  <si>
    <r>
      <t>SupportingDocs.pdf</t>
    </r>
    <r>
      <rPr>
        <sz val="11"/>
        <color rgb="FFFF0000"/>
        <rFont val="맑은 고딕"/>
        <family val="2"/>
        <scheme val="minor"/>
      </rPr>
      <t xml:space="preserve"> (BOE duty amount)</t>
    </r>
  </si>
  <si>
    <r>
      <t>Label corrected</t>
    </r>
    <r>
      <rPr>
        <sz val="11"/>
        <color rgb="FFFF0000"/>
        <rFont val="맑은 고딕"/>
        <family val="2"/>
        <scheme val="minor"/>
      </rPr>
      <t xml:space="preserve"> from “5%” to “2.50%”</t>
    </r>
    <phoneticPr fontId="3" type="noConversion"/>
  </si>
  <si>
    <t>=180/3.6725</t>
  </si>
  <si>
    <t>=180/3.6725</t>
    <phoneticPr fontId="3" type="noConversion"/>
  </si>
  <si>
    <t>TRANSPORTATION
CHARGE2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</si>
</sst>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1" formatCode="_-* #,##0_-;\-* #,##0_-;_-* &quot;-&quot;_-;_-@_-"/>
    <numFmt numFmtId="176" formatCode="&quot;$&quot;#,##0.00_);[Red]\(&quot;$&quot;#,##0.00\)"/>
    <numFmt numFmtId="177" formatCode="_(* #,##0.00_);_(* \(#,##0.00\);_(* &quot;-&quot;??_);_(@_)"/>
    <numFmt numFmtId="178" formatCode="[$-409]d\-mmm\-yyyy;@"/>
    <numFmt numFmtId="179" formatCode="_-[$$-409]* #,##0.00_ ;_-[$$-409]* \-#,##0.00\ ;_-[$$-409]* &quot;-&quot;??_ ;_-@_ "/>
    <numFmt numFmtId="180" formatCode="#,##0.00_ "/>
  </numFmts>
  <fonts count="26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ptos"/>
      <family val="2"/>
    </font>
    <font>
      <b/>
      <sz val="11"/>
      <color theme="1"/>
      <name val="Aptos"/>
      <family val="2"/>
    </font>
    <font>
      <sz val="9"/>
      <color theme="1"/>
      <name val="Aptos"/>
      <family val="2"/>
    </font>
    <font>
      <i/>
      <sz val="11"/>
      <color theme="1"/>
      <name val="Aptos"/>
      <family val="2"/>
    </font>
    <font>
      <sz val="10"/>
      <name val="Aptos"/>
      <family val="2"/>
    </font>
    <font>
      <b/>
      <sz val="10"/>
      <name val="Aptos"/>
      <family val="2"/>
    </font>
    <font>
      <b/>
      <sz val="9"/>
      <color theme="1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u/>
      <sz val="10"/>
      <color theme="10"/>
      <name val="Aptos"/>
      <family val="2"/>
    </font>
    <font>
      <b/>
      <sz val="10"/>
      <color theme="0"/>
      <name val="Aptos"/>
      <family val="2"/>
    </font>
    <font>
      <sz val="10"/>
      <color rgb="FFFF0000"/>
      <name val="Aptos"/>
      <family val="2"/>
    </font>
    <font>
      <b/>
      <sz val="11"/>
      <name val="Aptos"/>
      <family val="2"/>
    </font>
    <font>
      <b/>
      <sz val="11"/>
      <color rgb="FFFF0000"/>
      <name val="Aptos"/>
      <family val="2"/>
    </font>
    <font>
      <b/>
      <sz val="11"/>
      <color theme="1"/>
      <name val="맑은 고딕"/>
      <family val="3"/>
      <charset val="129"/>
      <scheme val="minor"/>
    </font>
    <font>
      <b/>
      <sz val="10"/>
      <color theme="0"/>
      <name val="Aptos"/>
    </font>
    <font>
      <b/>
      <sz val="10"/>
      <color theme="1"/>
      <name val="Aptos"/>
    </font>
    <font>
      <b/>
      <sz val="10"/>
      <color rgb="FFFF0000"/>
      <name val="Aptos"/>
    </font>
    <font>
      <sz val="10"/>
      <color theme="1"/>
      <name val="Arial Unicode MS"/>
      <family val="2"/>
    </font>
    <font>
      <b/>
      <sz val="10"/>
      <color rgb="FFFF0000"/>
      <name val="Aptos"/>
      <family val="2"/>
    </font>
    <font>
      <sz val="11"/>
      <color rgb="FFFF0000"/>
      <name val="맑은 고딕"/>
      <family val="2"/>
      <scheme val="minor"/>
    </font>
    <font>
      <b/>
      <sz val="11"/>
      <color rgb="FFFF000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4">
    <xf numFmtId="0" fontId="0" fillId="0" borderId="0"/>
    <xf numFmtId="177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41" fontId="1" fillId="0" borderId="0" applyFont="0" applyFill="0" applyBorder="0" applyAlignment="0" applyProtection="0">
      <alignment vertical="center"/>
    </xf>
  </cellStyleXfs>
  <cellXfs count="83">
    <xf numFmtId="0" fontId="0" fillId="0" borderId="0" xfId="0"/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178" fontId="6" fillId="0" borderId="0" xfId="0" applyNumberFormat="1" applyFont="1" applyAlignment="1">
      <alignment horizontal="center" vertical="center" wrapText="1"/>
    </xf>
    <xf numFmtId="4" fontId="6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76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/>
    <xf numFmtId="0" fontId="12" fillId="3" borderId="1" xfId="0" applyFont="1" applyFill="1" applyBorder="1"/>
    <xf numFmtId="178" fontId="11" fillId="0" borderId="1" xfId="0" applyNumberFormat="1" applyFont="1" applyBorder="1" applyAlignment="1">
      <alignment horizontal="left" vertical="center" indent="1"/>
    </xf>
    <xf numFmtId="0" fontId="11" fillId="0" borderId="1" xfId="0" quotePrefix="1" applyFont="1" applyBorder="1" applyAlignment="1">
      <alignment horizontal="left" indent="1"/>
    </xf>
    <xf numFmtId="0" fontId="13" fillId="0" borderId="1" xfId="2" quotePrefix="1" applyFont="1" applyBorder="1" applyAlignment="1">
      <alignment horizontal="left" indent="1"/>
    </xf>
    <xf numFmtId="0" fontId="11" fillId="0" borderId="1" xfId="0" applyFont="1" applyBorder="1" applyAlignment="1">
      <alignment horizontal="left" inden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179" fontId="11" fillId="0" borderId="1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177" fontId="12" fillId="0" borderId="1" xfId="1" applyFont="1" applyBorder="1" applyAlignment="1">
      <alignment horizontal="center" vertical="center"/>
    </xf>
    <xf numFmtId="177" fontId="11" fillId="0" borderId="0" xfId="0" applyNumberFormat="1" applyFont="1"/>
    <xf numFmtId="0" fontId="15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left" vertical="center" wrapText="1"/>
    </xf>
    <xf numFmtId="179" fontId="15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15" fillId="0" borderId="0" xfId="0" applyFont="1"/>
    <xf numFmtId="177" fontId="12" fillId="4" borderId="1" xfId="0" applyNumberFormat="1" applyFont="1" applyFill="1" applyBorder="1"/>
    <xf numFmtId="4" fontId="11" fillId="0" borderId="0" xfId="0" applyNumberFormat="1" applyFont="1"/>
    <xf numFmtId="0" fontId="17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/>
    <xf numFmtId="179" fontId="8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177" fontId="9" fillId="0" borderId="1" xfId="1" applyFont="1" applyBorder="1" applyAlignment="1">
      <alignment horizontal="center" vertical="center"/>
    </xf>
    <xf numFmtId="0" fontId="2" fillId="0" borderId="1" xfId="2" quotePrefix="1" applyBorder="1" applyAlignment="1">
      <alignment horizontal="left" indent="1"/>
    </xf>
    <xf numFmtId="0" fontId="18" fillId="0" borderId="0" xfId="0" applyFont="1"/>
    <xf numFmtId="22" fontId="0" fillId="0" borderId="0" xfId="0" applyNumberFormat="1"/>
    <xf numFmtId="179" fontId="11" fillId="0" borderId="2" xfId="0" applyNumberFormat="1" applyFont="1" applyBorder="1" applyAlignment="1">
      <alignment horizontal="center" vertical="center"/>
    </xf>
    <xf numFmtId="179" fontId="8" fillId="0" borderId="2" xfId="0" applyNumberFormat="1" applyFont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49" fontId="11" fillId="0" borderId="2" xfId="0" applyNumberFormat="1" applyFont="1" applyBorder="1" applyAlignment="1">
      <alignment horizontal="center" vertical="center"/>
    </xf>
    <xf numFmtId="49" fontId="11" fillId="0" borderId="2" xfId="0" quotePrefix="1" applyNumberFormat="1" applyFont="1" applyBorder="1" applyAlignment="1">
      <alignment horizontal="center" vertical="center"/>
    </xf>
    <xf numFmtId="49" fontId="8" fillId="0" borderId="2" xfId="0" quotePrefix="1" applyNumberFormat="1" applyFont="1" applyBorder="1" applyAlignment="1">
      <alignment horizontal="center" vertical="center"/>
    </xf>
    <xf numFmtId="0" fontId="20" fillId="0" borderId="0" xfId="0" applyFont="1"/>
    <xf numFmtId="4" fontId="8" fillId="0" borderId="0" xfId="0" applyNumberFormat="1" applyFont="1"/>
    <xf numFmtId="4" fontId="15" fillId="0" borderId="0" xfId="0" applyNumberFormat="1" applyFont="1"/>
    <xf numFmtId="4" fontId="21" fillId="0" borderId="0" xfId="0" applyNumberFormat="1" applyFont="1"/>
    <xf numFmtId="0" fontId="0" fillId="0" borderId="0" xfId="0" applyAlignment="1">
      <alignment horizontal="right" vertical="center" wrapText="1"/>
    </xf>
    <xf numFmtId="0" fontId="18" fillId="0" borderId="0" xfId="0" applyFont="1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8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15" fillId="4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left" vertical="center"/>
    </xf>
    <xf numFmtId="179" fontId="15" fillId="4" borderId="1" xfId="0" applyNumberFormat="1" applyFont="1" applyFill="1" applyBorder="1" applyAlignment="1">
      <alignment horizontal="center" vertical="center"/>
    </xf>
    <xf numFmtId="49" fontId="15" fillId="4" borderId="2" xfId="0" applyNumberFormat="1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 vertical="center"/>
    </xf>
    <xf numFmtId="177" fontId="23" fillId="4" borderId="1" xfId="1" applyFont="1" applyFill="1" applyBorder="1" applyAlignment="1">
      <alignment horizontal="center" vertical="center"/>
    </xf>
    <xf numFmtId="4" fontId="15" fillId="4" borderId="0" xfId="0" applyNumberFormat="1" applyFont="1" applyFill="1"/>
    <xf numFmtId="0" fontId="15" fillId="4" borderId="0" xfId="0" applyFont="1" applyFill="1"/>
    <xf numFmtId="0" fontId="24" fillId="4" borderId="0" xfId="0" applyFont="1" applyFill="1" applyAlignment="1">
      <alignment horizontal="right" vertical="center" wrapText="1"/>
    </xf>
    <xf numFmtId="0" fontId="24" fillId="4" borderId="0" xfId="0" applyFont="1" applyFill="1" applyAlignment="1">
      <alignment vertical="center" wrapText="1"/>
    </xf>
    <xf numFmtId="0" fontId="25" fillId="4" borderId="0" xfId="0" applyFont="1" applyFill="1" applyAlignment="1">
      <alignment vertical="center" wrapText="1"/>
    </xf>
    <xf numFmtId="0" fontId="0" fillId="4" borderId="0" xfId="0" applyFill="1"/>
    <xf numFmtId="0" fontId="0" fillId="4" borderId="0" xfId="0" quotePrefix="1" applyFill="1"/>
    <xf numFmtId="0" fontId="11" fillId="4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left" vertical="center"/>
    </xf>
    <xf numFmtId="179" fontId="11" fillId="4" borderId="1" xfId="0" applyNumberFormat="1" applyFont="1" applyFill="1" applyBorder="1" applyAlignment="1">
      <alignment horizontal="center" vertical="center"/>
    </xf>
    <xf numFmtId="49" fontId="11" fillId="4" borderId="2" xfId="0" quotePrefix="1" applyNumberFormat="1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177" fontId="12" fillId="4" borderId="1" xfId="1" applyFont="1" applyFill="1" applyBorder="1" applyAlignment="1">
      <alignment horizontal="center" vertical="center"/>
    </xf>
    <xf numFmtId="4" fontId="11" fillId="4" borderId="0" xfId="0" applyNumberFormat="1" applyFont="1" applyFill="1"/>
    <xf numFmtId="0" fontId="12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2" fillId="4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14" fontId="0" fillId="0" borderId="0" xfId="0" applyNumberFormat="1"/>
    <xf numFmtId="180" fontId="0" fillId="0" borderId="0" xfId="0" applyNumberFormat="1"/>
  </cellXfs>
  <cellStyles count="4">
    <cellStyle name="Comma [0] 2" xfId="3" xr:uid="{0168F697-6D7E-4F9B-95A0-7964362D2E06}"/>
    <cellStyle name="쉼표" xfId="1" builtinId="3"/>
    <cellStyle name="표준" xfId="0" builtinId="0"/>
    <cellStyle name="하이퍼링크" xfId="2" builtinId="8"/>
  </cellStyles>
  <dxfs count="14">
    <dxf>
      <numFmt numFmtId="180" formatCode="#,##0.00_ "/>
    </dxf>
    <dxf>
      <numFmt numFmtId="180" formatCode="#,##0.00_ "/>
    </dxf>
    <dxf>
      <numFmt numFmtId="180" formatCode="#,##0.00_ "/>
    </dxf>
    <dxf>
      <numFmt numFmtId="180" formatCode="#,##0.00_ "/>
    </dxf>
    <dxf>
      <numFmt numFmtId="180" formatCode="#,##0.00_ "/>
    </dxf>
    <dxf>
      <numFmt numFmtId="180" formatCode="#,##0.00_ "/>
    </dxf>
    <dxf>
      <numFmt numFmtId="180" formatCode="#,##0.00_ "/>
    </dxf>
    <dxf>
      <numFmt numFmtId="180" formatCode="#,##0.00_ "/>
    </dxf>
    <dxf>
      <numFmt numFmtId="180" formatCode="#,##0.00_ "/>
    </dxf>
    <dxf>
      <numFmt numFmtId="180" formatCode="#,##0.00_ "/>
    </dxf>
    <dxf>
      <numFmt numFmtId="19" formatCode="yyyy/mm/dd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FC0CA282-B4F3-4C5F-B67A-F285AB54977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3ECB13E-1CA4-40ED-9AD1-AA26738EBA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876292</xdr:colOff>
      <xdr:row>1</xdr:row>
      <xdr:rowOff>0</xdr:rowOff>
    </xdr:from>
    <xdr:to>
      <xdr:col>9</xdr:col>
      <xdr:colOff>354779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00153330-A595-4E54-9660-C0DE3AEC0214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585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17C506D-542E-470F-B1F4-AE253534E6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15168CAE-5F4D-4189-904D-50E971FA1F2F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BC31CF2-6D92-4594-80A8-12728584E8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73377C12-DFBA-4744-9EDE-189CEBFE2F1A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C9BDA01-570C-4869-8808-B45921CFA7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0D510C33-4FE9-4BDC-B61B-1AE5ECF09462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54C5763-B9BD-4BAB-B407-D911E9F003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64C0A084-F818-49CA-814E-D1FE95519A00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1641678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B7B500A-AA30-45B4-B796-27B6A8504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DC33D66D-42C9-433D-A1CD-F7EF9E24FC29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DE7E699-8C60-425D-BC51-6C4C54F80D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3F841E7F-92CE-4F97-B9C1-1FDF4E164C73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81EF07F-592F-4D72-B43E-1D68331CDB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8CFEC2EC-32E7-4285-8C90-B81D00507016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B9BA8D8-D6E6-47D1-9C95-0CE0E4D8B5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DA27E947-591A-461D-8F11-A3903FA5A9F3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C0058B1-F7CB-4B92-9E33-E38E01C990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3F845F0B-DE8B-48B1-9CD1-9978762072D3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0382903-87AA-49A4-A29C-89ED3D2B9F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2B3DEB27-2BA7-46F6-AF47-FA41EAEDF683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19385F9-9B5E-4F18-AAF8-6EB6554B20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4CA36E2C-4B6E-4A16-8987-31D923CC1792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705052-E7F4-4659-BC54-C05610E6CF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846D94F6-BF2C-499F-8266-9CCFF9768EC3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61A8DD3-076A-4836-8142-B70DA71C55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F448919D-1836-442F-9A3A-D8B16B94AC9F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7F739DE-2166-4E2E-8060-832980A0EF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7B2F9AEC-FAB6-41F5-90A6-CD739D63342E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447E4A3-688A-4CBC-9F44-59522E85C3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1771642</xdr:colOff>
      <xdr:row>0</xdr:row>
      <xdr:rowOff>161925</xdr:rowOff>
    </xdr:from>
    <xdr:to>
      <xdr:col>8</xdr:col>
      <xdr:colOff>1440629</xdr:colOff>
      <xdr:row>3</xdr:row>
      <xdr:rowOff>57150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2D78B7B9-773D-416B-A999-64A72C562563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63542" y="161925"/>
          <a:ext cx="1436827" cy="409575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F4176A1-F280-4902-877A-2F68FFC1C7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1771642</xdr:colOff>
      <xdr:row>0</xdr:row>
      <xdr:rowOff>161925</xdr:rowOff>
    </xdr:from>
    <xdr:to>
      <xdr:col>8</xdr:col>
      <xdr:colOff>1440629</xdr:colOff>
      <xdr:row>3</xdr:row>
      <xdr:rowOff>57150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51518289-0626-4D48-8B1A-81905065272B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63542" y="161925"/>
          <a:ext cx="1436827" cy="409575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D307B6C-BC7A-476C-9CFA-A746960368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285742</xdr:colOff>
      <xdr:row>1</xdr:row>
      <xdr:rowOff>19050</xdr:rowOff>
    </xdr:from>
    <xdr:to>
      <xdr:col>8</xdr:col>
      <xdr:colOff>389069</xdr:colOff>
      <xdr:row>3</xdr:row>
      <xdr:rowOff>85725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4D873D9B-DC55-4891-B702-53111DC09D0D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77642" y="190500"/>
          <a:ext cx="1436827" cy="409575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7E2B72B-FAE2-4379-B8D1-3F2EDF457D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6E492B23-DFF6-4DFF-8458-AFEEBCA6DFD2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7AE7BEE-CE25-44FF-856C-1433F4EDA7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47D0C750-B6F7-4833-AB8D-DF34D88F59E1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CC66A2E-FA25-4CA8-98B8-D6BB2E0F17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4F5CAE37-F869-469C-A18A-71A50B0E3912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34867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F92BE98-AD25-4B00-B855-5CD5455E7D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A1F16D0D-A14A-438E-BC17-D685FCBADBF0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34867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3FC216F-62BC-41D1-B312-BB54F4D363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C6DDEB0C-75DE-4778-9EE0-C63BFD47B669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34867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2B19CA4-AA94-4BD8-A219-65D03637A5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70ED479D-637E-49AC-8A9E-00769BC9B519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34867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1349941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C99EF26-521B-434C-92D9-120D0A5664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933898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8E053E39-E4F6-4994-83D9-BD1A519A31D9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34867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665BED0-F655-48A4-AC51-F93B5C83DF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290A5B97-4CFA-4F8C-AAD9-0890290B5966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34867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E2085F0-3289-4848-A949-1C908359AC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7C381B4B-A4B1-4A76-A762-6CF4FE63EC97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34867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42ED0EE-3A59-4062-90F9-C92C6CA465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9CBD799F-F6D0-4B91-9008-2FD5BC3D161C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34867" y="171450"/>
          <a:ext cx="1436827" cy="40957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80C4F50-87BD-4FE6-A724-DC3390E86536}" name="표1" displayName="표1" ref="B1:Z29" totalsRowShown="0">
  <autoFilter ref="B1:Z29" xr:uid="{580C4F50-87BD-4FE6-A724-DC3390E86536}"/>
  <tableColumns count="25">
    <tableColumn id="1" xr3:uid="{0238653F-BF23-4125-909D-B23F5AEFE880}" name="S/No"/>
    <tableColumn id="2" xr3:uid="{B097E44D-513B-4F93-93C5-24DB6F7D6762}" name="Shpt Ref"/>
    <tableColumn id="3" xr3:uid="{FA12C4CC-7E87-47F1-9C50-247C8F8AE66E}" name="Job #"/>
    <tableColumn id="4" xr3:uid="{A7F72362-DDAD-4AF2-8074-AAF8420A0956}" name="Type"/>
    <tableColumn id="5" xr3:uid="{FE21C292-F3F1-40BF-8B92-14E5230DFB1B}" name="BL #"/>
    <tableColumn id="6" xr3:uid="{10F78328-BB96-4CAD-87AF-12334DF4E2E7}" name="POL"/>
    <tableColumn id="7" xr3:uid="{4BC72C6C-C59B-45F3-8A04-9B3458F8138C}" name="POD"/>
    <tableColumn id="8" xr3:uid="{D112B872-32B4-4F32-9531-DD5AEB654B06}" name="Mode"/>
    <tableColumn id="9" xr3:uid="{41CF0350-E430-4A78-93D3-628CDBA690C3}" name="No. Of CNTR"/>
    <tableColumn id="10" xr3:uid="{B28296FB-6A09-4987-91B0-B27DED8A6307}" name="Volume"/>
    <tableColumn id="11" xr3:uid="{FFE4260B-B5FC-4F93-AB6C-5A4AEEE32A32}" name="Quantity"/>
    <tableColumn id="12" xr3:uid="{CCC1AE1B-50CB-41E1-99B9-9A4463A211CE}" name="Bill of Entry Number"/>
    <tableColumn id="13" xr3:uid="{C896A0BD-7511-43CE-94BD-A4232EF296BD}" name="BOE Issued Date" dataDxfId="10"/>
    <tableColumn id="14" xr3:uid="{779059BB-60FE-447E-9414-D80B2B2DF090}" name="# Trips" dataDxfId="9"/>
    <tableColumn id="15" xr3:uid="{A46C03A0-5948-4992-ACFD-7C62BAAE3F6B}" name="MASTER DO_x000a_CHARGE" dataDxfId="8"/>
    <tableColumn id="16" xr3:uid="{F6178153-C1B5-40EE-BD06-E06A211B1C11}" name="CUSTOMS_x000a_CLEARANCE_x000a_CHARGE" dataDxfId="7"/>
    <tableColumn id="17" xr3:uid="{3F85E84E-E83C-42AB-A678-9BBFA919A9A9}" name="HOUSE_x000a_DO_x000a_CHARGE (BL EXCHANGE) / DELIVERY ORDER" dataDxfId="6"/>
    <tableColumn id="18" xr3:uid="{B7A41CDE-DD10-42A9-BDE3-885B52A28D4F}" name="PORT HANDLING CHARGE" dataDxfId="5"/>
    <tableColumn id="19" xr3:uid="{95CD10B6-6DF3-4B1F-9BAD-29A37F8240CC}" name="TRANSPORTATION_x000a_CHARGE" dataDxfId="4"/>
    <tableColumn id="20" xr3:uid="{5BB8D8B0-0469-4ABC-BB6B-37B853AB3300}" name="TRANSPORTATION_x000a_CHARGE2" dataDxfId="3"/>
    <tableColumn id="21" xr3:uid="{7C9DAB14-F147-42E1-BA5E-8E9C7CBDD882}" name="ADDITIONAL AMOUNT_x000a_(Please refer to the detail sheet)" dataDxfId="2"/>
    <tableColumn id="22" xr3:uid="{AB419767-C387-4045-A3A4-7440AB69EF58}" name="DUTY RELATED CHARGES" dataDxfId="1"/>
    <tableColumn id="23" xr3:uid="{C9280732-CAD5-485B-BD02-6EF341A7E157}" name="AT COST AMOUNT" dataDxfId="0"/>
    <tableColumn id="24" xr3:uid="{B23D45E3-5909-4BDB-A397-45C6F2F7CC0A}" name="GRAND TOTAL (USD)"/>
    <tableColumn id="25" xr3:uid="{B3156025-848A-4E31-880F-DF47045D9E35}" name="Remark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6F0DB-DD76-4957-B00F-615AEBF20F2D}">
  <sheetPr codeName="Sheet1">
    <tabColor rgb="FFFFFF00"/>
    <pageSetUpPr fitToPage="1"/>
  </sheetPr>
  <dimension ref="A1:Z59"/>
  <sheetViews>
    <sheetView tabSelected="1" topLeftCell="U1" zoomScale="70" zoomScaleNormal="70" workbookViewId="0">
      <selection activeCell="Y30" sqref="Y30"/>
    </sheetView>
  </sheetViews>
  <sheetFormatPr defaultColWidth="8.875" defaultRowHeight="14.25"/>
  <cols>
    <col min="1" max="1" width="2.875" style="1" hidden="1" customWidth="1"/>
    <col min="2" max="2" width="8" style="2" bestFit="1" customWidth="1"/>
    <col min="3" max="3" width="40.125" style="56" bestFit="1" customWidth="1"/>
    <col min="4" max="4" width="25.25" style="5" customWidth="1"/>
    <col min="5" max="5" width="20.9375" style="5" customWidth="1"/>
    <col min="6" max="6" width="21.9375" style="5" customWidth="1"/>
    <col min="7" max="9" width="14.625" style="5" customWidth="1"/>
    <col min="10" max="10" width="17.3125" style="5" customWidth="1"/>
    <col min="11" max="11" width="9.1875" style="5" customWidth="1"/>
    <col min="12" max="12" width="10.1875" style="5" customWidth="1"/>
    <col min="13" max="13" width="20.875" style="5" customWidth="1"/>
    <col min="14" max="14" width="17.3125" style="6" customWidth="1"/>
    <col min="15" max="17" width="14.6875" style="5" customWidth="1"/>
    <col min="18" max="18" width="32.625" style="5" bestFit="1" customWidth="1"/>
    <col min="19" max="19" width="26.3125" style="5" customWidth="1"/>
    <col min="20" max="21" width="12.6875" style="5" bestFit="1" customWidth="1"/>
    <col min="22" max="22" width="29.625" style="5" bestFit="1" customWidth="1"/>
    <col min="23" max="23" width="25.375" style="5" customWidth="1"/>
    <col min="24" max="24" width="19.375" style="5" customWidth="1"/>
    <col min="25" max="25" width="21.8125" style="10" customWidth="1"/>
    <col min="26" max="26" width="57.75" style="4" customWidth="1"/>
    <col min="27" max="16384" width="8.875" style="1"/>
  </cols>
  <sheetData>
    <row r="1" spans="2:26" ht="50.65">
      <c r="B1" t="s">
        <v>1</v>
      </c>
      <c r="C1" t="s">
        <v>2</v>
      </c>
      <c r="D1" t="s">
        <v>4</v>
      </c>
      <c r="E1" t="s">
        <v>3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42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s="80" t="s">
        <v>424</v>
      </c>
      <c r="V1" t="s">
        <v>19</v>
      </c>
      <c r="W1" t="s">
        <v>214</v>
      </c>
      <c r="X1" t="s">
        <v>20</v>
      </c>
      <c r="Y1" t="s">
        <v>21</v>
      </c>
      <c r="Z1" t="s">
        <v>22</v>
      </c>
    </row>
    <row r="2" spans="2:26" s="8" customFormat="1" ht="16.899999999999999">
      <c r="B2">
        <v>1</v>
      </c>
      <c r="C2" t="s">
        <v>57</v>
      </c>
      <c r="D2" t="s">
        <v>55</v>
      </c>
      <c r="E2" t="s">
        <v>44</v>
      </c>
      <c r="F2" t="s">
        <v>56</v>
      </c>
      <c r="G2" t="s">
        <v>45</v>
      </c>
      <c r="H2" t="s">
        <v>46</v>
      </c>
      <c r="I2" t="s">
        <v>47</v>
      </c>
      <c r="J2">
        <v>3</v>
      </c>
      <c r="K2">
        <v>155</v>
      </c>
      <c r="L2">
        <v>749</v>
      </c>
      <c r="M2" t="s">
        <v>58</v>
      </c>
      <c r="N2" s="81">
        <v>45897</v>
      </c>
      <c r="O2" s="82">
        <v>3</v>
      </c>
      <c r="P2" s="82">
        <f>'SCT0126'!H13</f>
        <v>150</v>
      </c>
      <c r="Q2" s="82">
        <f>'SCT0126'!H14</f>
        <v>150</v>
      </c>
      <c r="R2" s="82"/>
      <c r="S2" s="82">
        <f>SUM('SCT0126'!H15:H16)</f>
        <v>1330</v>
      </c>
      <c r="T2" s="82">
        <f>'SCT0126'!H17+'SCT0126'!H18</f>
        <v>1512</v>
      </c>
      <c r="U2" s="82"/>
      <c r="V2" s="82"/>
      <c r="W2" s="82"/>
      <c r="X2" s="82">
        <f>SUM('SCT0126'!H19:H26)</f>
        <v>166.09938733832541</v>
      </c>
      <c r="Y2">
        <f t="shared" ref="Y2:Y4" si="0">SUM(P2:X2)</f>
        <v>3308.0993873383254</v>
      </c>
      <c r="Z2" t="s">
        <v>141</v>
      </c>
    </row>
    <row r="3" spans="2:26" s="8" customFormat="1" ht="16.899999999999999">
      <c r="B3">
        <v>2</v>
      </c>
      <c r="C3" t="s">
        <v>132</v>
      </c>
      <c r="D3" t="s">
        <v>134</v>
      </c>
      <c r="E3" t="s">
        <v>44</v>
      </c>
      <c r="F3" t="s">
        <v>133</v>
      </c>
      <c r="G3" t="s">
        <v>135</v>
      </c>
      <c r="H3" t="s">
        <v>46</v>
      </c>
      <c r="I3" t="s">
        <v>47</v>
      </c>
      <c r="J3">
        <v>1</v>
      </c>
      <c r="K3">
        <v>1.1339999999999999</v>
      </c>
      <c r="L3">
        <v>1</v>
      </c>
      <c r="M3" t="s">
        <v>136</v>
      </c>
      <c r="N3" s="81">
        <v>45911</v>
      </c>
      <c r="O3" s="82">
        <v>1</v>
      </c>
      <c r="P3" s="82">
        <f>'SCT0127'!H13</f>
        <v>150</v>
      </c>
      <c r="Q3" s="82">
        <f>'SCT0127'!H14</f>
        <v>150</v>
      </c>
      <c r="R3" s="82"/>
      <c r="S3" s="82">
        <f>'SCT0127'!H15</f>
        <v>372</v>
      </c>
      <c r="T3" s="82">
        <f>'SCT0127'!H16</f>
        <v>252</v>
      </c>
      <c r="U3" s="82"/>
      <c r="V3" s="82"/>
      <c r="W3" s="82"/>
      <c r="X3" s="82">
        <f>SUM('SCT0127'!H17:H26)</f>
        <v>65.820285908781486</v>
      </c>
      <c r="Y3">
        <f t="shared" si="0"/>
        <v>989.82028590878144</v>
      </c>
      <c r="Z3" t="s">
        <v>141</v>
      </c>
    </row>
    <row r="4" spans="2:26" s="32" customFormat="1" ht="16.899999999999999">
      <c r="B4">
        <v>3</v>
      </c>
      <c r="C4" t="s">
        <v>114</v>
      </c>
      <c r="D4" t="s">
        <v>124</v>
      </c>
      <c r="E4" t="s">
        <v>44</v>
      </c>
      <c r="F4" t="s">
        <v>126</v>
      </c>
      <c r="G4" t="s">
        <v>45</v>
      </c>
      <c r="H4" t="s">
        <v>46</v>
      </c>
      <c r="I4" t="s">
        <v>47</v>
      </c>
      <c r="J4">
        <v>0</v>
      </c>
      <c r="K4">
        <v>194.04499999999999</v>
      </c>
      <c r="L4">
        <v>38</v>
      </c>
      <c r="M4" t="s">
        <v>127</v>
      </c>
      <c r="N4" s="81">
        <v>45699</v>
      </c>
      <c r="O4" s="82">
        <v>7</v>
      </c>
      <c r="P4" s="82"/>
      <c r="Q4" s="82"/>
      <c r="R4" s="82"/>
      <c r="S4" s="82"/>
      <c r="T4" s="82"/>
      <c r="U4" s="82"/>
      <c r="V4" s="82"/>
      <c r="W4" s="82"/>
      <c r="X4" s="82">
        <f>'SCT0038'!H13</f>
        <v>49.012933968686184</v>
      </c>
      <c r="Y4">
        <f t="shared" si="0"/>
        <v>49.012933968686184</v>
      </c>
      <c r="Z4" t="s">
        <v>148</v>
      </c>
    </row>
    <row r="5" spans="2:26" s="8" customFormat="1" ht="16.899999999999999">
      <c r="B5">
        <v>4</v>
      </c>
      <c r="C5" t="s">
        <v>60</v>
      </c>
      <c r="D5" t="s">
        <v>61</v>
      </c>
      <c r="E5" t="s">
        <v>44</v>
      </c>
      <c r="F5" t="s">
        <v>62</v>
      </c>
      <c r="G5" t="s">
        <v>45</v>
      </c>
      <c r="H5" t="s">
        <v>46</v>
      </c>
      <c r="I5" t="s">
        <v>47</v>
      </c>
      <c r="J5">
        <v>1</v>
      </c>
      <c r="K5">
        <v>4.67</v>
      </c>
      <c r="L5">
        <v>4</v>
      </c>
      <c r="M5" t="s">
        <v>63</v>
      </c>
      <c r="N5" s="81">
        <v>45908</v>
      </c>
      <c r="O5" s="82">
        <v>1</v>
      </c>
      <c r="P5" s="82">
        <f>'SCT0122'!H13</f>
        <v>150</v>
      </c>
      <c r="Q5" s="82">
        <f>'SCT0122'!H14</f>
        <v>150</v>
      </c>
      <c r="R5" s="82"/>
      <c r="S5" s="82">
        <f>'SCT0122'!H15</f>
        <v>372</v>
      </c>
      <c r="T5" s="82">
        <f>'SCT0122'!H16</f>
        <v>252</v>
      </c>
      <c r="U5" s="82"/>
      <c r="V5" s="82"/>
      <c r="W5" s="82"/>
      <c r="X5" s="82">
        <f>SUM('SCT0122'!H17:H26)</f>
        <v>70.796460176991161</v>
      </c>
      <c r="Y5">
        <f t="shared" ref="Y5:Y30" si="1">SUM(P5:X5)</f>
        <v>994.7964601769911</v>
      </c>
      <c r="Z5" t="s">
        <v>141</v>
      </c>
    </row>
    <row r="6" spans="2:26" s="8" customFormat="1" ht="16.899999999999999">
      <c r="B6">
        <v>5</v>
      </c>
      <c r="C6" t="s">
        <v>66</v>
      </c>
      <c r="D6" t="s">
        <v>67</v>
      </c>
      <c r="E6" t="s">
        <v>44</v>
      </c>
      <c r="F6" t="s">
        <v>69</v>
      </c>
      <c r="G6" t="s">
        <v>68</v>
      </c>
      <c r="H6" t="s">
        <v>70</v>
      </c>
      <c r="I6" t="s">
        <v>71</v>
      </c>
      <c r="J6">
        <v>0</v>
      </c>
      <c r="K6">
        <v>12.757</v>
      </c>
      <c r="L6">
        <v>4</v>
      </c>
      <c r="M6" t="s">
        <v>72</v>
      </c>
      <c r="N6" s="81">
        <v>45908</v>
      </c>
      <c r="O6" s="82">
        <v>1</v>
      </c>
      <c r="P6" s="82">
        <f>'SCT0131'!H13</f>
        <v>80</v>
      </c>
      <c r="Q6" s="82">
        <f>'SCT0131'!H14</f>
        <v>150</v>
      </c>
      <c r="R6" s="82"/>
      <c r="S6" s="82">
        <f>'SCT0131'!H15</f>
        <v>1174.8000000000002</v>
      </c>
      <c r="T6" s="82">
        <f>'SCT0131'!H16</f>
        <v>200</v>
      </c>
      <c r="U6" s="82"/>
      <c r="V6" s="82"/>
      <c r="W6" s="82"/>
      <c r="X6" s="82">
        <f>SUM('SCT0131'!H17:H25)</f>
        <v>16.882232811436353</v>
      </c>
      <c r="Y6">
        <f t="shared" ref="Y6" si="2">SUM(P6:X6)</f>
        <v>1621.6822328114365</v>
      </c>
      <c r="Z6" t="s">
        <v>141</v>
      </c>
    </row>
    <row r="7" spans="2:26" s="8" customFormat="1" ht="16.899999999999999">
      <c r="B7">
        <v>6</v>
      </c>
      <c r="C7" t="s">
        <v>95</v>
      </c>
      <c r="D7" t="s">
        <v>97</v>
      </c>
      <c r="E7" t="s">
        <v>44</v>
      </c>
      <c r="F7" t="s">
        <v>96</v>
      </c>
      <c r="G7" t="s">
        <v>45</v>
      </c>
      <c r="H7" t="s">
        <v>46</v>
      </c>
      <c r="I7" t="s">
        <v>47</v>
      </c>
      <c r="J7">
        <v>1</v>
      </c>
      <c r="K7">
        <v>30.74</v>
      </c>
      <c r="L7">
        <v>6</v>
      </c>
      <c r="M7" t="s">
        <v>130</v>
      </c>
      <c r="N7" s="81">
        <v>45917</v>
      </c>
      <c r="O7" s="82">
        <v>1</v>
      </c>
      <c r="P7" s="82">
        <f>'SCT0123,0124'!H13</f>
        <v>150</v>
      </c>
      <c r="Q7" s="82">
        <f>'SCT0123,0124'!H14</f>
        <v>150</v>
      </c>
      <c r="R7" s="82"/>
      <c r="S7" s="82">
        <f>'SCT0123,0124'!H15</f>
        <v>479</v>
      </c>
      <c r="T7" s="82">
        <f>'SCT0123,0124'!H16</f>
        <v>252</v>
      </c>
      <c r="U7" s="82"/>
      <c r="V7" s="82"/>
      <c r="W7" s="82"/>
      <c r="X7" s="82">
        <f>SUM('SCT0123,0124'!H17:H27)</f>
        <v>81.519400953029276</v>
      </c>
      <c r="Y7">
        <f t="shared" ref="Y7:Y8" si="3">SUM(P7:X7)</f>
        <v>1112.5194009530292</v>
      </c>
      <c r="Z7" t="s">
        <v>141</v>
      </c>
    </row>
    <row r="8" spans="2:26" s="8" customFormat="1" ht="16.899999999999999">
      <c r="B8">
        <v>7</v>
      </c>
      <c r="C8" t="s">
        <v>121</v>
      </c>
      <c r="D8" t="s">
        <v>123</v>
      </c>
      <c r="E8" t="s">
        <v>44</v>
      </c>
      <c r="F8" t="s">
        <v>122</v>
      </c>
      <c r="G8" t="s">
        <v>68</v>
      </c>
      <c r="H8" t="s">
        <v>70</v>
      </c>
      <c r="I8" t="s">
        <v>71</v>
      </c>
      <c r="J8">
        <v>0</v>
      </c>
      <c r="K8">
        <v>2.11</v>
      </c>
      <c r="L8">
        <v>4</v>
      </c>
      <c r="M8" t="s">
        <v>131</v>
      </c>
      <c r="N8" s="81">
        <v>45926</v>
      </c>
      <c r="O8" s="82">
        <v>3</v>
      </c>
      <c r="P8" s="82">
        <f>'SCT0134'!H13</f>
        <v>80</v>
      </c>
      <c r="Q8" s="82">
        <f>'SCT0134'!H14</f>
        <v>150</v>
      </c>
      <c r="R8" s="82"/>
      <c r="S8" s="82">
        <f>'SCT0134'!H15</f>
        <v>1197.9000000000001</v>
      </c>
      <c r="T8" s="82">
        <f>'SCT0134'!H16+'SCT0134'!H17</f>
        <v>910</v>
      </c>
      <c r="U8" s="82"/>
      <c r="V8" s="82"/>
      <c r="W8" s="82"/>
      <c r="X8" s="82">
        <f>SUM('SCT0134'!H18:H25)</f>
        <v>16.882232811436353</v>
      </c>
      <c r="Y8">
        <f t="shared" si="3"/>
        <v>2354.7822328114366</v>
      </c>
      <c r="Z8" t="s">
        <v>141</v>
      </c>
    </row>
    <row r="9" spans="2:26" s="8" customFormat="1" ht="16.899999999999999">
      <c r="B9">
        <v>8</v>
      </c>
      <c r="C9" t="s">
        <v>77</v>
      </c>
      <c r="D9" t="s">
        <v>78</v>
      </c>
      <c r="E9" t="s">
        <v>140</v>
      </c>
      <c r="F9" t="s">
        <v>142</v>
      </c>
      <c r="G9" t="s">
        <v>143</v>
      </c>
      <c r="H9" t="s">
        <v>46</v>
      </c>
      <c r="I9" t="s">
        <v>47</v>
      </c>
      <c r="J9">
        <v>4</v>
      </c>
      <c r="K9">
        <v>153.18799999999999</v>
      </c>
      <c r="L9">
        <v>4</v>
      </c>
      <c r="M9" t="s">
        <v>144</v>
      </c>
      <c r="N9" s="81">
        <v>45902</v>
      </c>
      <c r="O9" s="82">
        <v>0</v>
      </c>
      <c r="P9" s="82">
        <f>'HE0472'!H13</f>
        <v>150</v>
      </c>
      <c r="Q9" s="82">
        <f>'HE0471'!H14</f>
        <v>150</v>
      </c>
      <c r="R9" s="82"/>
      <c r="S9" s="82"/>
      <c r="T9" s="82"/>
      <c r="U9" s="82"/>
      <c r="V9" s="82"/>
      <c r="W9" s="82"/>
      <c r="X9" s="82"/>
      <c r="Y9">
        <f t="shared" si="1"/>
        <v>300</v>
      </c>
      <c r="Z9" t="s">
        <v>145</v>
      </c>
    </row>
    <row r="10" spans="2:26" s="32" customFormat="1" ht="16.899999999999999">
      <c r="B10">
        <v>9</v>
      </c>
      <c r="C10" t="s">
        <v>80</v>
      </c>
      <c r="D10" t="s">
        <v>81</v>
      </c>
      <c r="E10" t="s">
        <v>140</v>
      </c>
      <c r="F10" t="s">
        <v>82</v>
      </c>
      <c r="G10" t="s">
        <v>143</v>
      </c>
      <c r="H10" t="s">
        <v>46</v>
      </c>
      <c r="I10" t="s">
        <v>47</v>
      </c>
      <c r="J10">
        <v>6</v>
      </c>
      <c r="K10">
        <v>229.78200000000001</v>
      </c>
      <c r="L10">
        <v>6</v>
      </c>
      <c r="M10" t="s">
        <v>146</v>
      </c>
      <c r="N10" s="81">
        <v>45902</v>
      </c>
      <c r="O10" s="82">
        <v>0</v>
      </c>
      <c r="P10" s="82">
        <f>'HE0472'!H13</f>
        <v>150</v>
      </c>
      <c r="Q10" s="82">
        <f>'HE0472'!H14</f>
        <v>150</v>
      </c>
      <c r="R10" s="82"/>
      <c r="S10" s="82"/>
      <c r="T10" s="82"/>
      <c r="U10" s="82"/>
      <c r="V10" s="82"/>
      <c r="W10" s="82"/>
      <c r="X10" s="82"/>
      <c r="Y10">
        <f t="shared" ref="Y10" si="4">SUM(P10:X10)</f>
        <v>300</v>
      </c>
      <c r="Z10" t="s">
        <v>145</v>
      </c>
    </row>
    <row r="11" spans="2:26" s="33" customFormat="1" ht="16.899999999999999">
      <c r="B11">
        <v>10</v>
      </c>
      <c r="C11" t="s">
        <v>83</v>
      </c>
      <c r="D11" t="s">
        <v>85</v>
      </c>
      <c r="E11" t="s">
        <v>140</v>
      </c>
      <c r="F11" t="s">
        <v>84</v>
      </c>
      <c r="G11" t="s">
        <v>143</v>
      </c>
      <c r="H11" t="s">
        <v>46</v>
      </c>
      <c r="I11" t="s">
        <v>47</v>
      </c>
      <c r="J11">
        <v>7</v>
      </c>
      <c r="K11">
        <v>268.07900000000001</v>
      </c>
      <c r="L11">
        <v>7</v>
      </c>
      <c r="M11" t="s">
        <v>147</v>
      </c>
      <c r="N11" s="81">
        <v>45902</v>
      </c>
      <c r="O11" s="82">
        <v>0</v>
      </c>
      <c r="P11" s="82">
        <f>'HE0473'!H13</f>
        <v>150</v>
      </c>
      <c r="Q11" s="82">
        <f>'HE0473'!H14</f>
        <v>150</v>
      </c>
      <c r="R11" s="82"/>
      <c r="S11" s="82"/>
      <c r="T11" s="82"/>
      <c r="U11" s="82"/>
      <c r="V11" s="82"/>
      <c r="W11" s="82"/>
      <c r="X11" s="82"/>
      <c r="Y11">
        <f t="shared" ref="Y11" si="5">SUM(P11:X11)</f>
        <v>300</v>
      </c>
      <c r="Z11" t="s">
        <v>145</v>
      </c>
    </row>
    <row r="12" spans="2:26" s="32" customFormat="1" ht="16.899999999999999">
      <c r="B12">
        <v>11</v>
      </c>
      <c r="C12" t="s">
        <v>86</v>
      </c>
      <c r="D12" t="s">
        <v>88</v>
      </c>
      <c r="E12" t="s">
        <v>140</v>
      </c>
      <c r="F12" t="s">
        <v>87</v>
      </c>
      <c r="G12" t="s">
        <v>143</v>
      </c>
      <c r="H12" t="s">
        <v>46</v>
      </c>
      <c r="I12" t="s">
        <v>47</v>
      </c>
      <c r="J12">
        <v>6</v>
      </c>
      <c r="K12">
        <v>314.45</v>
      </c>
      <c r="L12">
        <v>41</v>
      </c>
      <c r="M12" t="s">
        <v>149</v>
      </c>
      <c r="N12" s="81">
        <v>45909</v>
      </c>
      <c r="O12" s="82">
        <v>0</v>
      </c>
      <c r="P12" s="82">
        <f>'HE0450,0459,0460'!H13</f>
        <v>150</v>
      </c>
      <c r="Q12" s="82">
        <f>'HE0450,0459,0460'!H14</f>
        <v>150</v>
      </c>
      <c r="R12" s="82"/>
      <c r="S12" s="82"/>
      <c r="T12" s="82"/>
      <c r="U12" s="82"/>
      <c r="V12" s="82"/>
      <c r="W12" s="82"/>
      <c r="X12" s="82"/>
      <c r="Y12">
        <f t="shared" ref="Y12" si="6">SUM(P12:X12)</f>
        <v>300</v>
      </c>
      <c r="Z12" t="s">
        <v>145</v>
      </c>
    </row>
    <row r="13" spans="2:26" s="8" customFormat="1" ht="16.899999999999999">
      <c r="B13">
        <v>12</v>
      </c>
      <c r="C13" t="s">
        <v>150</v>
      </c>
      <c r="D13" t="s">
        <v>113</v>
      </c>
      <c r="E13" t="s">
        <v>140</v>
      </c>
      <c r="F13" t="s">
        <v>112</v>
      </c>
      <c r="G13" t="s">
        <v>143</v>
      </c>
      <c r="H13" t="s">
        <v>46</v>
      </c>
      <c r="I13" t="s">
        <v>47</v>
      </c>
      <c r="J13">
        <v>1</v>
      </c>
      <c r="K13">
        <v>25</v>
      </c>
      <c r="L13">
        <v>8</v>
      </c>
      <c r="M13" t="s">
        <v>151</v>
      </c>
      <c r="N13" s="81">
        <v>45915</v>
      </c>
      <c r="O13" s="82">
        <v>0</v>
      </c>
      <c r="P13" s="82">
        <f>'HE0466,0467,0468'!H13</f>
        <v>150</v>
      </c>
      <c r="Q13" s="82">
        <f>'HE0466,0467,0468'!H14</f>
        <v>150</v>
      </c>
      <c r="R13" s="82"/>
      <c r="S13" s="82"/>
      <c r="T13" s="82"/>
      <c r="U13" s="82"/>
      <c r="V13" s="82"/>
      <c r="W13" s="82"/>
      <c r="X13" s="82"/>
      <c r="Y13">
        <f t="shared" si="1"/>
        <v>300</v>
      </c>
      <c r="Z13" t="s">
        <v>145</v>
      </c>
    </row>
    <row r="14" spans="2:26" s="8" customFormat="1" ht="16.899999999999999">
      <c r="B14">
        <v>13</v>
      </c>
      <c r="C14" t="s">
        <v>153</v>
      </c>
      <c r="D14" t="s">
        <v>94</v>
      </c>
      <c r="E14" t="s">
        <v>140</v>
      </c>
      <c r="F14" t="s">
        <v>93</v>
      </c>
      <c r="G14" t="s">
        <v>143</v>
      </c>
      <c r="H14" t="s">
        <v>46</v>
      </c>
      <c r="I14" t="s">
        <v>47</v>
      </c>
      <c r="J14">
        <v>7</v>
      </c>
      <c r="K14">
        <v>254.87</v>
      </c>
      <c r="L14">
        <v>116</v>
      </c>
      <c r="M14" t="s">
        <v>152</v>
      </c>
      <c r="N14" s="81">
        <v>45911</v>
      </c>
      <c r="O14" s="82">
        <v>0</v>
      </c>
      <c r="P14" s="82">
        <f>'HE0464,0465,0470'!H13</f>
        <v>150</v>
      </c>
      <c r="Q14" s="82">
        <f>'HE0464,0465,0470'!H14</f>
        <v>150</v>
      </c>
      <c r="R14" s="82"/>
      <c r="S14" s="82"/>
      <c r="T14" s="82"/>
      <c r="U14" s="82"/>
      <c r="V14" s="82"/>
      <c r="W14" s="82"/>
      <c r="X14" s="82"/>
      <c r="Y14">
        <f t="shared" ref="Y14" si="7">SUM(P14:X14)</f>
        <v>300</v>
      </c>
      <c r="Z14" t="s">
        <v>145</v>
      </c>
    </row>
    <row r="15" spans="2:26" s="8" customFormat="1" ht="16.899999999999999">
      <c r="B15">
        <v>14</v>
      </c>
      <c r="C15" t="s">
        <v>105</v>
      </c>
      <c r="D15" t="s">
        <v>106</v>
      </c>
      <c r="E15" t="s">
        <v>140</v>
      </c>
      <c r="F15" t="s">
        <v>107</v>
      </c>
      <c r="G15" t="s">
        <v>143</v>
      </c>
      <c r="H15" t="s">
        <v>46</v>
      </c>
      <c r="I15" t="s">
        <v>47</v>
      </c>
      <c r="J15">
        <v>1</v>
      </c>
      <c r="K15">
        <v>5.2549999999999999</v>
      </c>
      <c r="L15">
        <v>8</v>
      </c>
      <c r="M15" t="s">
        <v>154</v>
      </c>
      <c r="N15" s="81">
        <v>45911</v>
      </c>
      <c r="O15" s="82">
        <v>0</v>
      </c>
      <c r="P15" s="82">
        <f>'HE0437,0438-2,0439-2,0440-1,044'!H13</f>
        <v>150</v>
      </c>
      <c r="Q15" s="82">
        <f>'HE0437,0438-2,0439-2,0440-1,044'!H14</f>
        <v>150</v>
      </c>
      <c r="R15" s="82"/>
      <c r="S15" s="82"/>
      <c r="T15" s="82"/>
      <c r="U15" s="82"/>
      <c r="V15" s="82"/>
      <c r="W15" s="82"/>
      <c r="X15" s="82"/>
      <c r="Y15">
        <f t="shared" si="1"/>
        <v>300</v>
      </c>
      <c r="Z15" t="s">
        <v>145</v>
      </c>
    </row>
    <row r="16" spans="2:26" ht="16.899999999999999">
      <c r="B16">
        <v>15</v>
      </c>
      <c r="C16" t="s">
        <v>89</v>
      </c>
      <c r="D16" t="s">
        <v>91</v>
      </c>
      <c r="E16" t="s">
        <v>140</v>
      </c>
      <c r="F16" t="s">
        <v>90</v>
      </c>
      <c r="G16" t="s">
        <v>155</v>
      </c>
      <c r="H16" t="s">
        <v>70</v>
      </c>
      <c r="I16" t="s">
        <v>71</v>
      </c>
      <c r="J16">
        <v>0</v>
      </c>
      <c r="K16">
        <v>0</v>
      </c>
      <c r="L16">
        <v>5</v>
      </c>
      <c r="M16" t="s">
        <v>156</v>
      </c>
      <c r="N16" s="81">
        <v>45902</v>
      </c>
      <c r="O16" s="82">
        <v>0</v>
      </c>
      <c r="P16" s="82">
        <f>'HE0487'!H13</f>
        <v>80</v>
      </c>
      <c r="Q16" s="82">
        <f>'HE0487'!H14</f>
        <v>150</v>
      </c>
      <c r="R16" s="82"/>
      <c r="S16" s="82"/>
      <c r="T16" s="82"/>
      <c r="U16" s="82"/>
      <c r="V16" s="82"/>
      <c r="W16" s="82"/>
      <c r="X16" s="82"/>
      <c r="Y16">
        <f t="shared" si="1"/>
        <v>230</v>
      </c>
      <c r="Z16" t="s">
        <v>145</v>
      </c>
    </row>
    <row r="17" spans="2:26" ht="16.899999999999999">
      <c r="B17">
        <v>16</v>
      </c>
      <c r="C17" t="s">
        <v>158</v>
      </c>
      <c r="D17" t="s">
        <v>159</v>
      </c>
      <c r="E17" t="s">
        <v>140</v>
      </c>
      <c r="F17" t="s">
        <v>157</v>
      </c>
      <c r="G17" t="s">
        <v>160</v>
      </c>
      <c r="H17" t="s">
        <v>46</v>
      </c>
      <c r="I17" t="s">
        <v>47</v>
      </c>
      <c r="J17">
        <v>5</v>
      </c>
      <c r="K17">
        <v>0</v>
      </c>
      <c r="L17">
        <f>12+7+6+7+8</f>
        <v>40</v>
      </c>
      <c r="M17" t="s">
        <v>161</v>
      </c>
      <c r="N17" s="81">
        <v>45896</v>
      </c>
      <c r="O17" s="82">
        <v>0</v>
      </c>
      <c r="P17" s="82">
        <f>'HE0438-0454'!H13</f>
        <v>150</v>
      </c>
      <c r="Q17" s="82">
        <f>'HE0438-0454'!H14</f>
        <v>150</v>
      </c>
      <c r="R17" s="82"/>
      <c r="S17" s="82"/>
      <c r="T17" s="82"/>
      <c r="U17" s="82"/>
      <c r="V17" s="82"/>
      <c r="W17" s="82"/>
      <c r="X17" s="82"/>
      <c r="Y17">
        <f>SUM(P17:X17)</f>
        <v>300</v>
      </c>
      <c r="Z17" t="s">
        <v>145</v>
      </c>
    </row>
    <row r="18" spans="2:26" ht="16.899999999999999">
      <c r="B18">
        <v>17</v>
      </c>
      <c r="C18" t="s">
        <v>162</v>
      </c>
      <c r="D18" t="s">
        <v>164</v>
      </c>
      <c r="E18" t="s">
        <v>140</v>
      </c>
      <c r="F18" t="s">
        <v>163</v>
      </c>
      <c r="G18" t="s">
        <v>165</v>
      </c>
      <c r="H18" t="s">
        <v>46</v>
      </c>
      <c r="I18" t="s">
        <v>47</v>
      </c>
      <c r="J18">
        <v>4</v>
      </c>
      <c r="K18">
        <v>0</v>
      </c>
      <c r="L18">
        <v>8</v>
      </c>
      <c r="M18" t="s">
        <v>166</v>
      </c>
      <c r="N18" s="81">
        <v>45918</v>
      </c>
      <c r="O18" s="82">
        <v>0</v>
      </c>
      <c r="P18" s="82">
        <f>'HE0425,0426,0427,0428'!H13</f>
        <v>150</v>
      </c>
      <c r="Q18" s="82">
        <f>'HE0425,0426,0427,0428'!H14</f>
        <v>150</v>
      </c>
      <c r="R18" s="82"/>
      <c r="S18" s="82"/>
      <c r="T18" s="82"/>
      <c r="U18" s="82"/>
      <c r="V18" s="82"/>
      <c r="W18" s="82"/>
      <c r="X18" s="82"/>
      <c r="Y18">
        <f t="shared" ref="Y18:Y24" si="8">SUM(P18:X18)</f>
        <v>300</v>
      </c>
      <c r="Z18" t="s">
        <v>145</v>
      </c>
    </row>
    <row r="19" spans="2:26" ht="16.899999999999999">
      <c r="B19">
        <v>18</v>
      </c>
      <c r="C19" t="s">
        <v>167</v>
      </c>
      <c r="D19" t="s">
        <v>168</v>
      </c>
      <c r="E19" t="s">
        <v>140</v>
      </c>
      <c r="F19" t="s">
        <v>169</v>
      </c>
      <c r="G19" t="s">
        <v>143</v>
      </c>
      <c r="H19" t="s">
        <v>46</v>
      </c>
      <c r="I19" t="s">
        <v>47</v>
      </c>
      <c r="J19">
        <v>4</v>
      </c>
      <c r="K19">
        <v>153.18799999999999</v>
      </c>
      <c r="L19">
        <v>4</v>
      </c>
      <c r="M19" t="s">
        <v>170</v>
      </c>
      <c r="N19" s="81">
        <v>45923</v>
      </c>
      <c r="O19" s="82">
        <v>0</v>
      </c>
      <c r="P19" s="82">
        <f>'HE0475'!H13</f>
        <v>150</v>
      </c>
      <c r="Q19" s="82">
        <f>'HE0475'!H14</f>
        <v>150</v>
      </c>
      <c r="R19" s="82"/>
      <c r="S19" s="82"/>
      <c r="T19" s="82"/>
      <c r="U19" s="82"/>
      <c r="V19" s="82"/>
      <c r="W19" s="82"/>
      <c r="X19" s="82"/>
      <c r="Y19">
        <f t="shared" si="8"/>
        <v>300</v>
      </c>
      <c r="Z19" t="s">
        <v>145</v>
      </c>
    </row>
    <row r="20" spans="2:26" ht="16.899999999999999">
      <c r="B20">
        <v>19</v>
      </c>
      <c r="C20" t="s">
        <v>171</v>
      </c>
      <c r="D20" t="s">
        <v>172</v>
      </c>
      <c r="E20" t="s">
        <v>140</v>
      </c>
      <c r="F20" t="s">
        <v>173</v>
      </c>
      <c r="G20" t="s">
        <v>155</v>
      </c>
      <c r="H20" t="s">
        <v>70</v>
      </c>
      <c r="I20" t="s">
        <v>71</v>
      </c>
      <c r="J20">
        <v>0</v>
      </c>
      <c r="K20">
        <v>0</v>
      </c>
      <c r="L20">
        <v>61</v>
      </c>
      <c r="M20" t="s">
        <v>174</v>
      </c>
      <c r="N20" s="81">
        <v>45912</v>
      </c>
      <c r="O20" s="82">
        <v>0</v>
      </c>
      <c r="P20" s="82">
        <f>'HE0497'!H13</f>
        <v>160</v>
      </c>
      <c r="Q20" s="82">
        <f>'HE0497'!H14</f>
        <v>300</v>
      </c>
      <c r="R20" s="82"/>
      <c r="S20" s="82"/>
      <c r="T20" s="82"/>
      <c r="U20" s="82"/>
      <c r="V20" s="82"/>
      <c r="W20" s="82"/>
      <c r="X20" s="82"/>
      <c r="Y20">
        <f t="shared" si="8"/>
        <v>460</v>
      </c>
      <c r="Z20" t="s">
        <v>145</v>
      </c>
    </row>
    <row r="21" spans="2:26" ht="16.899999999999999">
      <c r="B21">
        <v>20</v>
      </c>
      <c r="C21" t="s">
        <v>109</v>
      </c>
      <c r="D21" t="s">
        <v>108</v>
      </c>
      <c r="E21" t="s">
        <v>140</v>
      </c>
      <c r="F21" t="s">
        <v>110</v>
      </c>
      <c r="G21" t="s">
        <v>175</v>
      </c>
      <c r="H21" t="s">
        <v>70</v>
      </c>
      <c r="I21" t="s">
        <v>71</v>
      </c>
      <c r="J21">
        <v>0</v>
      </c>
      <c r="K21">
        <v>0</v>
      </c>
      <c r="L21">
        <v>2</v>
      </c>
      <c r="M21" t="s">
        <v>176</v>
      </c>
      <c r="N21" s="81">
        <v>45915</v>
      </c>
      <c r="O21" s="82">
        <v>0</v>
      </c>
      <c r="P21" s="82">
        <f>'HE0500'!H13</f>
        <v>80</v>
      </c>
      <c r="Q21" s="82">
        <f>'HE0500'!H14</f>
        <v>150</v>
      </c>
      <c r="R21" s="82"/>
      <c r="S21" s="82"/>
      <c r="T21" s="82"/>
      <c r="U21" s="82"/>
      <c r="V21" s="82"/>
      <c r="W21" s="82"/>
      <c r="X21" s="82"/>
      <c r="Y21">
        <f t="shared" si="8"/>
        <v>230</v>
      </c>
      <c r="Z21" t="s">
        <v>145</v>
      </c>
    </row>
    <row r="22" spans="2:26" ht="16.899999999999999">
      <c r="B22">
        <v>21</v>
      </c>
      <c r="C22" t="s">
        <v>177</v>
      </c>
      <c r="D22" t="s">
        <v>178</v>
      </c>
      <c r="E22" t="s">
        <v>140</v>
      </c>
      <c r="F22" t="s">
        <v>179</v>
      </c>
      <c r="G22" t="s">
        <v>155</v>
      </c>
      <c r="H22" t="s">
        <v>70</v>
      </c>
      <c r="I22" t="s">
        <v>71</v>
      </c>
      <c r="J22">
        <v>0</v>
      </c>
      <c r="K22">
        <v>0</v>
      </c>
      <c r="L22">
        <v>8</v>
      </c>
      <c r="M22" t="s">
        <v>180</v>
      </c>
      <c r="N22" s="81">
        <v>45902</v>
      </c>
      <c r="O22" s="82">
        <v>0</v>
      </c>
      <c r="P22" s="82">
        <f>'HE0488'!H13</f>
        <v>80</v>
      </c>
      <c r="Q22" s="82">
        <f>'HE0488'!H14</f>
        <v>150</v>
      </c>
      <c r="R22" s="82"/>
      <c r="S22" s="82"/>
      <c r="T22" s="82"/>
      <c r="U22" s="82"/>
      <c r="V22" s="82"/>
      <c r="W22" s="82"/>
      <c r="X22" s="82"/>
      <c r="Y22">
        <f t="shared" si="8"/>
        <v>230</v>
      </c>
      <c r="Z22" t="s">
        <v>145</v>
      </c>
    </row>
    <row r="23" spans="2:26" ht="16.899999999999999">
      <c r="B23">
        <v>22</v>
      </c>
      <c r="C23" t="s">
        <v>181</v>
      </c>
      <c r="D23" t="s">
        <v>182</v>
      </c>
      <c r="E23" t="s">
        <v>140</v>
      </c>
      <c r="F23" t="s">
        <v>183</v>
      </c>
      <c r="G23" t="s">
        <v>175</v>
      </c>
      <c r="H23" t="s">
        <v>70</v>
      </c>
      <c r="I23" t="s">
        <v>71</v>
      </c>
      <c r="J23">
        <v>0</v>
      </c>
      <c r="K23">
        <v>0</v>
      </c>
      <c r="L23">
        <v>16</v>
      </c>
      <c r="M23" t="s">
        <v>184</v>
      </c>
      <c r="N23" s="81">
        <v>45903</v>
      </c>
      <c r="O23" s="82">
        <v>0</v>
      </c>
      <c r="P23" s="82">
        <f>'HE0495,0496'!H13</f>
        <v>160</v>
      </c>
      <c r="Q23" s="82">
        <f>'HE0495,0496'!H14</f>
        <v>300</v>
      </c>
      <c r="R23" s="82"/>
      <c r="S23" s="82"/>
      <c r="T23" s="82"/>
      <c r="U23" s="82"/>
      <c r="V23" s="82"/>
      <c r="W23" s="82"/>
      <c r="X23" s="82"/>
      <c r="Y23">
        <f t="shared" si="8"/>
        <v>460</v>
      </c>
      <c r="Z23" t="s">
        <v>145</v>
      </c>
    </row>
    <row r="24" spans="2:26" ht="16.899999999999999">
      <c r="B24">
        <v>23</v>
      </c>
      <c r="C24" t="s">
        <v>185</v>
      </c>
      <c r="D24" t="s">
        <v>187</v>
      </c>
      <c r="E24" t="s">
        <v>140</v>
      </c>
      <c r="F24" t="s">
        <v>186</v>
      </c>
      <c r="G24" t="s">
        <v>188</v>
      </c>
      <c r="H24" t="s">
        <v>70</v>
      </c>
      <c r="I24" t="s">
        <v>71</v>
      </c>
      <c r="J24">
        <v>0</v>
      </c>
      <c r="K24">
        <v>0</v>
      </c>
      <c r="L24">
        <v>23</v>
      </c>
      <c r="M24" t="s">
        <v>189</v>
      </c>
      <c r="N24" s="81">
        <v>45922</v>
      </c>
      <c r="O24" s="82">
        <v>0</v>
      </c>
      <c r="P24" s="82">
        <f>'HE0498'!H13</f>
        <v>80</v>
      </c>
      <c r="Q24" s="82">
        <f>'HE0498'!H14</f>
        <v>150</v>
      </c>
      <c r="R24" s="82"/>
      <c r="S24" s="82"/>
      <c r="T24" s="82"/>
      <c r="U24" s="82"/>
      <c r="V24" s="82"/>
      <c r="W24" s="82"/>
      <c r="X24" s="82"/>
      <c r="Y24">
        <f t="shared" si="8"/>
        <v>230</v>
      </c>
      <c r="Z24" t="s">
        <v>145</v>
      </c>
    </row>
    <row r="25" spans="2:26" ht="16.899999999999999">
      <c r="B25">
        <v>24</v>
      </c>
      <c r="C25" t="s">
        <v>190</v>
      </c>
      <c r="D25" t="s">
        <v>191</v>
      </c>
      <c r="E25" t="s">
        <v>140</v>
      </c>
      <c r="F25" t="s">
        <v>192</v>
      </c>
      <c r="G25" t="s">
        <v>188</v>
      </c>
      <c r="H25" t="s">
        <v>70</v>
      </c>
      <c r="I25" t="s">
        <v>71</v>
      </c>
      <c r="J25">
        <v>0</v>
      </c>
      <c r="K25">
        <v>0</v>
      </c>
      <c r="L25">
        <v>1</v>
      </c>
      <c r="M25" t="s">
        <v>193</v>
      </c>
      <c r="N25" s="81">
        <v>45924</v>
      </c>
      <c r="O25" s="82">
        <v>0</v>
      </c>
      <c r="P25" s="82">
        <f>'HE0501'!H13</f>
        <v>80</v>
      </c>
      <c r="Q25" s="82">
        <f>'HE0501'!H14</f>
        <v>150</v>
      </c>
      <c r="R25" s="82"/>
      <c r="S25" s="82"/>
      <c r="T25" s="82"/>
      <c r="U25" s="82"/>
      <c r="V25" s="82"/>
      <c r="W25" s="82"/>
      <c r="X25" s="82"/>
      <c r="Y25">
        <f t="shared" si="1"/>
        <v>230</v>
      </c>
      <c r="Z25" t="s">
        <v>145</v>
      </c>
    </row>
    <row r="26" spans="2:26" ht="16.899999999999999">
      <c r="B26">
        <v>25</v>
      </c>
      <c r="C26" t="s">
        <v>194</v>
      </c>
      <c r="D26" t="s">
        <v>195</v>
      </c>
      <c r="E26" t="s">
        <v>140</v>
      </c>
      <c r="F26" t="s">
        <v>196</v>
      </c>
      <c r="G26" t="s">
        <v>197</v>
      </c>
      <c r="H26" t="s">
        <v>70</v>
      </c>
      <c r="I26" t="s">
        <v>71</v>
      </c>
      <c r="J26">
        <v>0</v>
      </c>
      <c r="K26">
        <v>0</v>
      </c>
      <c r="L26">
        <v>7</v>
      </c>
      <c r="M26" t="s">
        <v>198</v>
      </c>
      <c r="N26" s="81">
        <v>45924</v>
      </c>
      <c r="O26" s="82">
        <v>0</v>
      </c>
      <c r="P26" s="82">
        <f>'HE0502'!H13</f>
        <v>80</v>
      </c>
      <c r="Q26" s="82">
        <f>'HE0502'!H14</f>
        <v>150</v>
      </c>
      <c r="R26" s="82"/>
      <c r="S26" s="82"/>
      <c r="T26" s="82"/>
      <c r="U26" s="82"/>
      <c r="V26" s="82"/>
      <c r="W26" s="82"/>
      <c r="X26" s="82"/>
      <c r="Y26">
        <f t="shared" si="1"/>
        <v>230</v>
      </c>
      <c r="Z26" t="s">
        <v>145</v>
      </c>
    </row>
    <row r="27" spans="2:26" ht="16.899999999999999">
      <c r="B27">
        <v>26</v>
      </c>
      <c r="C27" t="s">
        <v>199</v>
      </c>
      <c r="D27" t="s">
        <v>200</v>
      </c>
      <c r="E27" t="s">
        <v>220</v>
      </c>
      <c r="F27" t="s">
        <v>202</v>
      </c>
      <c r="G27" t="s">
        <v>217</v>
      </c>
      <c r="H27" t="s">
        <v>217</v>
      </c>
      <c r="I27" t="s">
        <v>217</v>
      </c>
      <c r="J27" t="s">
        <v>217</v>
      </c>
      <c r="K27" t="s">
        <v>217</v>
      </c>
      <c r="L27" t="s">
        <v>217</v>
      </c>
      <c r="M27" t="s">
        <v>216</v>
      </c>
      <c r="N27" s="81">
        <v>45903</v>
      </c>
      <c r="O27" s="82">
        <v>0</v>
      </c>
      <c r="P27" s="82"/>
      <c r="Q27" s="82"/>
      <c r="R27" s="82"/>
      <c r="S27" s="82"/>
      <c r="T27" s="82"/>
      <c r="U27" s="82"/>
      <c r="V27" s="82"/>
      <c r="W27" s="82">
        <f>HE0499L1!H27</f>
        <v>2691.77</v>
      </c>
      <c r="X27" s="82"/>
      <c r="Y27">
        <f t="shared" ref="Y27" si="9">SUM(P27:X27)</f>
        <v>2691.77</v>
      </c>
      <c r="Z27" t="s">
        <v>215</v>
      </c>
    </row>
    <row r="28" spans="2:26" ht="16.899999999999999">
      <c r="B28">
        <v>27</v>
      </c>
      <c r="C28" t="s">
        <v>218</v>
      </c>
      <c r="D28" t="s">
        <v>219</v>
      </c>
      <c r="E28" t="s">
        <v>220</v>
      </c>
      <c r="F28" t="s">
        <v>224</v>
      </c>
      <c r="G28" t="s">
        <v>217</v>
      </c>
      <c r="H28" t="s">
        <v>217</v>
      </c>
      <c r="I28" t="s">
        <v>217</v>
      </c>
      <c r="J28" t="s">
        <v>217</v>
      </c>
      <c r="K28" t="s">
        <v>217</v>
      </c>
      <c r="L28" t="s">
        <v>217</v>
      </c>
      <c r="M28" t="s">
        <v>225</v>
      </c>
      <c r="N28" s="81">
        <v>45911</v>
      </c>
      <c r="O28" s="82">
        <v>0</v>
      </c>
      <c r="P28" s="82"/>
      <c r="Q28" s="82"/>
      <c r="R28" s="82"/>
      <c r="S28" s="82"/>
      <c r="T28" s="82"/>
      <c r="U28" s="82"/>
      <c r="V28" s="82"/>
      <c r="W28" s="82">
        <f>HE0499L2!H25</f>
        <v>1422.76</v>
      </c>
      <c r="X28" s="82"/>
      <c r="Y28">
        <f t="shared" ref="Y28" si="10">SUM(P28:X28)</f>
        <v>1422.76</v>
      </c>
      <c r="Z28" t="s">
        <v>215</v>
      </c>
    </row>
    <row r="29" spans="2:26" ht="16.899999999999999">
      <c r="B29">
        <v>28</v>
      </c>
      <c r="C29" t="s">
        <v>228</v>
      </c>
      <c r="D29" t="s">
        <v>227</v>
      </c>
      <c r="E29" t="s">
        <v>220</v>
      </c>
      <c r="F29" t="s">
        <v>217</v>
      </c>
      <c r="G29" t="s">
        <v>217</v>
      </c>
      <c r="H29" t="s">
        <v>217</v>
      </c>
      <c r="I29" t="s">
        <v>217</v>
      </c>
      <c r="J29" t="s">
        <v>217</v>
      </c>
      <c r="K29" t="s">
        <v>217</v>
      </c>
      <c r="L29" t="s">
        <v>217</v>
      </c>
      <c r="M29" t="s">
        <v>233</v>
      </c>
      <c r="N29" s="81">
        <v>45919</v>
      </c>
      <c r="O29" s="82"/>
      <c r="P29" s="82"/>
      <c r="Q29" s="82"/>
      <c r="R29" s="82"/>
      <c r="S29" s="82"/>
      <c r="T29" s="82"/>
      <c r="U29" s="82"/>
      <c r="V29" s="82"/>
      <c r="W29" s="82">
        <f>HE0499L3!H23</f>
        <v>1584.19</v>
      </c>
      <c r="X29" s="82"/>
      <c r="Y29">
        <f t="shared" si="1"/>
        <v>1584.19</v>
      </c>
      <c r="Z29" t="s">
        <v>215</v>
      </c>
    </row>
    <row r="30" spans="2:26" ht="16.899999999999999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2:26">
      <c r="Y31" s="9"/>
    </row>
    <row r="33" spans="10:26">
      <c r="Q33" s="7"/>
    </row>
    <row r="34" spans="10:26">
      <c r="Q34" s="7"/>
    </row>
    <row r="35" spans="10:26">
      <c r="N35" s="5"/>
      <c r="P35" s="7"/>
      <c r="X35" s="10"/>
      <c r="Y35" s="4"/>
      <c r="Z35" s="1"/>
    </row>
    <row r="36" spans="10:26">
      <c r="N36" s="5"/>
      <c r="P36" s="7"/>
      <c r="X36" s="10"/>
      <c r="Y36" s="4"/>
      <c r="Z36" s="1"/>
    </row>
    <row r="37" spans="10:26">
      <c r="N37" s="5"/>
      <c r="P37" s="7"/>
      <c r="X37" s="10"/>
      <c r="Y37" s="4"/>
      <c r="Z37" s="1"/>
    </row>
    <row r="39" spans="10:26">
      <c r="J39" s="7"/>
    </row>
    <row r="40" spans="10:26">
      <c r="J40" s="7"/>
    </row>
    <row r="41" spans="10:26">
      <c r="J41" s="7"/>
    </row>
    <row r="42" spans="10:26">
      <c r="J42" s="7"/>
    </row>
    <row r="43" spans="10:26">
      <c r="J43" s="7"/>
    </row>
    <row r="44" spans="10:26">
      <c r="J44" s="7"/>
    </row>
    <row r="45" spans="10:26">
      <c r="J45" s="7"/>
    </row>
    <row r="46" spans="10:26">
      <c r="J46" s="7"/>
    </row>
    <row r="47" spans="10:26">
      <c r="J47" s="7"/>
    </row>
    <row r="48" spans="10:26">
      <c r="J48" s="7"/>
    </row>
    <row r="49" spans="10:10">
      <c r="J49" s="7"/>
    </row>
    <row r="50" spans="10:10">
      <c r="J50" s="7"/>
    </row>
    <row r="51" spans="10:10">
      <c r="J51" s="7"/>
    </row>
    <row r="52" spans="10:10">
      <c r="J52" s="7"/>
    </row>
    <row r="53" spans="10:10">
      <c r="J53" s="7"/>
    </row>
    <row r="54" spans="10:10">
      <c r="J54" s="7"/>
    </row>
    <row r="55" spans="10:10">
      <c r="J55" s="7"/>
    </row>
    <row r="56" spans="10:10">
      <c r="J56" s="7"/>
    </row>
    <row r="57" spans="10:10">
      <c r="J57" s="7"/>
    </row>
    <row r="58" spans="10:10">
      <c r="J58" s="7"/>
    </row>
    <row r="59" spans="10:10">
      <c r="J59" s="7"/>
    </row>
  </sheetData>
  <protectedRanges>
    <protectedRange sqref="N30" name="NORMAL USERS_21_2"/>
  </protectedRanges>
  <phoneticPr fontId="3" type="noConversion"/>
  <conditionalFormatting sqref="D31:D1048576">
    <cfRule type="duplicateValues" dxfId="13" priority="102"/>
  </conditionalFormatting>
  <hyperlinks>
    <hyperlink ref="C2" location="'SCT0126'!A1" display="HVDC-ADOPT-SCT-0126" xr:uid="{CB29C818-E467-4091-96C7-61879DF53C88}"/>
    <hyperlink ref="C5" location="'SCT0122'!A1" display="HVDC-ADOPT-SCT-0122" xr:uid="{4C3379F0-CAC6-416C-B3E5-C8C5FE019DC4}"/>
    <hyperlink ref="C4" location="'SCT0038'!A1" display="HVDC-ADOPT-SCT-0038" xr:uid="{0908FA35-D2D8-4CF0-99B0-29468E31F42E}"/>
    <hyperlink ref="C6" location="'SCT0131'!A1" display="HVDC-ADOPT-SCT-0131" xr:uid="{91A00168-13AD-42ED-A137-5AD4F1D7A0EE}"/>
    <hyperlink ref="C7" location="'SCT0123,0124'!A1" display="HVDC-ADOPT-SCT-0123, 0124" xr:uid="{A8C5A7FC-103B-4EF3-9731-917BA4396359}"/>
    <hyperlink ref="C8" location="'SCT0134'!A1" display="HVDC-ADOPT-SCT-0134" xr:uid="{F284377B-8BCC-48D5-8D8A-61631E81812B}"/>
    <hyperlink ref="C3" location="'SCT0127'!A1" display="HVDC-ADOPT-SCT-0127" xr:uid="{B9E82A70-05C2-4EA6-873C-10719EB5D584}"/>
    <hyperlink ref="C9" location="'HE0471'!A1" display="HVDC-ADOPT-HE-0471" xr:uid="{71DD0D0A-F74E-4207-8FFC-D4293608E294}"/>
    <hyperlink ref="C10" location="'HE0472'!A1" display="HVDC-ADOPT-HE-0472" xr:uid="{C8131152-670D-4FCB-B91B-6012C878C8D3}"/>
    <hyperlink ref="C11" location="'HE0473'!A1" display="HVDC-ADOPT-HE-0473" xr:uid="{BD70FA2A-5C5C-48ED-8261-DA63FFAB59B0}"/>
    <hyperlink ref="C12" location="'HE0450,0459,0460'!A1" display="HVDC-ADOPT-HE-0450, 0459, 0460" xr:uid="{FB6BDB1E-CEA2-41A3-8BBA-91C0A863FD02}"/>
    <hyperlink ref="C13" location="'HE0466,0467,0468'!A1" display="HVDC-ADOPT-HE-0466, 0467, 0468" xr:uid="{A7B87E86-22D9-47A9-B72D-1BEBCD4FBA07}"/>
    <hyperlink ref="C14" location="'HE0464,0465,0470'!A1" display="HVDC-ADOPT-HE-0464,0465,0470" xr:uid="{C61D5873-1778-46B5-B329-EDDA866B652F}"/>
    <hyperlink ref="C15" location="'HE0437,0438-2,0439-2,0440-1,044'!A1" display="HVDC-ADOPT-HE-0437,0438-2,0439-2,0440-2,0441-1" xr:uid="{394E49C4-51D3-4CC4-B4F7-D24D754238C3}"/>
    <hyperlink ref="C16" location="'HE0487'!A1" display="HVDC-ADOPT-HE-0487" xr:uid="{3B06FB54-F06F-46AD-94C1-8B713A2F914A}"/>
    <hyperlink ref="C17" location="'HE0438-0454'!A1" display="HVDC-ADOPT-HE-0438, 0439, 0440-1, 0441, 0482, 0454" xr:uid="{476035CF-5799-449C-A181-BA8C443421BA}"/>
    <hyperlink ref="C18" location="'HE0425,0426,0427,0428'!A1" display="HVDC-ADOPT-HE-0425, 0426, 0427, 0428" xr:uid="{5932D708-C803-41AD-8B1F-7AB22C70DAA2}"/>
    <hyperlink ref="C19" location="'HE0475'!A1" display="HVDC-ADOPT-HE-0475" xr:uid="{98E59229-B562-4A71-9BB4-728ED4A5DE9D}"/>
    <hyperlink ref="C20" location="'HE0497'!A1" display="HVDC-ADOPT-HE-0497" xr:uid="{074E084F-CBFD-4DB0-8F16-EABC8BDE236B}"/>
    <hyperlink ref="C21" location="'HE0500'!A1" display="HVDC-ADOPT-HE-0500" xr:uid="{ED6B48C7-D62D-4DED-934D-31D946743879}"/>
    <hyperlink ref="C22" location="'HE0488'!A1" display="HVDC-ADOPT-HE-0488" xr:uid="{369D1132-A947-470A-9A84-3D900DB47246}"/>
    <hyperlink ref="C23" location="'HE0495,0496'!A1" display="HVDC-ADOPT-HE-0495, 0496" xr:uid="{38D66266-E535-4F36-BF20-822556D6D36C}"/>
    <hyperlink ref="C24" location="'HE0498'!A1" display="HVDC-ADOPT-HE-0498" xr:uid="{7B470D6C-B9AD-40F5-8971-738FFA24579C}"/>
    <hyperlink ref="C25" location="'HE0501'!A1" display="HVDC-ADOPT-HE-0501" xr:uid="{A644300F-D3F5-4C41-BF6B-B308132B09D6}"/>
    <hyperlink ref="C26" location="'HE0502'!A1" display="HVDC-ADOPT-HE-0502" xr:uid="{70DC98D7-AE86-432A-AFCE-FEE5CA1FD133}"/>
    <hyperlink ref="C27" location="HE0499L1!A1" display="HVDC-ADOPT-HE-0499 (LOT1)" xr:uid="{42731099-9AEC-4D72-83E1-40607CD20F08}"/>
    <hyperlink ref="C28" location="HE0499L2!A1" display="HVDC-ADOPT-HE-0499 (LOT2)" xr:uid="{A7EE8F2B-179E-4587-9865-17B5C9F58790}"/>
    <hyperlink ref="C29" location="HE0499L3!A1" display="HVDC-ADOPT-HE-0499 (LOT3)" xr:uid="{AF3B57C7-CD17-4CA5-A09E-1354382F38D8}"/>
  </hyperlinks>
  <pageMargins left="0.7" right="0.7" top="0.75" bottom="0.75" header="0.3" footer="0.3"/>
  <pageSetup paperSize="9" scale="44" orientation="landscape" r:id="rId1"/>
  <headerFooter>
    <oddFooter>&amp;C_x000D_&amp;1#&amp;"Calibri"&amp;10&amp;K000000 DSV internal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9AC0C-E08E-4010-A64A-6D8D67EF555F}">
  <sheetPr codeName="Sheet3"/>
  <dimension ref="A1:R103"/>
  <sheetViews>
    <sheetView zoomScale="70" zoomScaleNormal="70" workbookViewId="0">
      <selection activeCell="P33" sqref="P33"/>
    </sheetView>
  </sheetViews>
  <sheetFormatPr defaultRowHeight="16.899999999999999"/>
  <cols>
    <col min="2" max="2" width="17.625" bestFit="1" customWidth="1"/>
    <col min="3" max="3" width="29.125" customWidth="1"/>
    <col min="4" max="4" width="6.375" bestFit="1" customWidth="1"/>
    <col min="5" max="5" width="14.875" bestFit="1" customWidth="1"/>
    <col min="6" max="6" width="117" bestFit="1" customWidth="1"/>
    <col min="7" max="7" width="14.375" bestFit="1" customWidth="1"/>
    <col min="8" max="8" width="17.375" bestFit="1" customWidth="1"/>
    <col min="9" max="9" width="6.375" bestFit="1" customWidth="1"/>
    <col min="10" max="10" width="14.375" bestFit="1" customWidth="1"/>
    <col min="11" max="11" width="10.875" bestFit="1" customWidth="1"/>
    <col min="12" max="12" width="12.3125" bestFit="1" customWidth="1"/>
    <col min="13" max="13" width="15.375" bestFit="1" customWidth="1"/>
    <col min="14" max="15" width="10.6875" customWidth="1"/>
    <col min="16" max="16" width="50.3125" bestFit="1" customWidth="1"/>
    <col min="17" max="17" width="18.375" bestFit="1" customWidth="1"/>
    <col min="18" max="18" width="16.875" bestFit="1" customWidth="1"/>
    <col min="20" max="20" width="7.375" bestFit="1" customWidth="1"/>
    <col min="21" max="21" width="5.375" bestFit="1" customWidth="1"/>
    <col min="24" max="24" width="8.375" bestFit="1" customWidth="1"/>
    <col min="25" max="26" width="12.625" bestFit="1" customWidth="1"/>
    <col min="27" max="27" width="29.3125" bestFit="1" customWidth="1"/>
  </cols>
  <sheetData>
    <row r="1" spans="1:18" s="39" customFormat="1">
      <c r="A1" s="39" t="s">
        <v>419</v>
      </c>
      <c r="B1" s="39" t="s">
        <v>269</v>
      </c>
      <c r="C1" s="39" t="s">
        <v>270</v>
      </c>
      <c r="D1" s="39" t="s">
        <v>1</v>
      </c>
      <c r="E1" s="39" t="s">
        <v>33</v>
      </c>
      <c r="F1" s="39" t="s">
        <v>34</v>
      </c>
      <c r="G1" s="39" t="s">
        <v>35</v>
      </c>
      <c r="H1" s="39" t="s">
        <v>243</v>
      </c>
      <c r="I1" s="39" t="s">
        <v>36</v>
      </c>
      <c r="J1" s="39" t="s">
        <v>37</v>
      </c>
      <c r="K1" s="39" t="s">
        <v>261</v>
      </c>
      <c r="L1" s="39" t="s">
        <v>262</v>
      </c>
      <c r="M1" s="39" t="s">
        <v>263</v>
      </c>
      <c r="P1"/>
      <c r="Q1"/>
      <c r="R1"/>
    </row>
    <row r="2" spans="1:18">
      <c r="A2">
        <v>1</v>
      </c>
      <c r="B2" t="s">
        <v>55</v>
      </c>
      <c r="C2" t="s">
        <v>57</v>
      </c>
      <c r="D2">
        <v>1</v>
      </c>
      <c r="E2" t="s">
        <v>0</v>
      </c>
      <c r="F2" t="s">
        <v>48</v>
      </c>
      <c r="G2">
        <v>150</v>
      </c>
      <c r="I2">
        <v>1</v>
      </c>
      <c r="J2">
        <v>150</v>
      </c>
      <c r="K2">
        <v>150</v>
      </c>
      <c r="L2">
        <v>150</v>
      </c>
      <c r="M2">
        <v>0</v>
      </c>
    </row>
    <row r="3" spans="1:18">
      <c r="A3">
        <v>2</v>
      </c>
      <c r="B3" t="s">
        <v>55</v>
      </c>
      <c r="C3" t="s">
        <v>57</v>
      </c>
      <c r="D3">
        <v>2</v>
      </c>
      <c r="E3" t="s">
        <v>0</v>
      </c>
      <c r="F3" t="s">
        <v>49</v>
      </c>
      <c r="G3">
        <v>150</v>
      </c>
      <c r="I3">
        <v>1</v>
      </c>
      <c r="J3">
        <v>150</v>
      </c>
      <c r="K3">
        <v>150</v>
      </c>
      <c r="L3">
        <v>150</v>
      </c>
      <c r="M3">
        <v>0</v>
      </c>
    </row>
    <row r="4" spans="1:18">
      <c r="A4">
        <v>3</v>
      </c>
      <c r="B4" t="s">
        <v>55</v>
      </c>
      <c r="C4" t="s">
        <v>57</v>
      </c>
      <c r="D4">
        <v>3</v>
      </c>
      <c r="E4" t="s">
        <v>0</v>
      </c>
      <c r="F4" t="s">
        <v>50</v>
      </c>
      <c r="G4">
        <v>372</v>
      </c>
      <c r="I4">
        <v>1</v>
      </c>
      <c r="J4">
        <v>372</v>
      </c>
      <c r="K4">
        <v>372</v>
      </c>
      <c r="L4">
        <v>372</v>
      </c>
      <c r="M4">
        <v>0</v>
      </c>
    </row>
    <row r="5" spans="1:18">
      <c r="A5">
        <v>4</v>
      </c>
      <c r="B5" t="s">
        <v>55</v>
      </c>
      <c r="C5" t="s">
        <v>57</v>
      </c>
      <c r="D5">
        <v>4</v>
      </c>
      <c r="E5" t="s">
        <v>0</v>
      </c>
      <c r="F5" t="s">
        <v>52</v>
      </c>
      <c r="G5">
        <v>479</v>
      </c>
      <c r="I5">
        <v>2</v>
      </c>
      <c r="J5">
        <v>958</v>
      </c>
      <c r="K5">
        <v>479</v>
      </c>
      <c r="L5">
        <v>958</v>
      </c>
      <c r="M5">
        <v>0</v>
      </c>
    </row>
    <row r="6" spans="1:18">
      <c r="A6">
        <v>5</v>
      </c>
      <c r="B6" t="s">
        <v>55</v>
      </c>
      <c r="C6" t="s">
        <v>57</v>
      </c>
      <c r="D6">
        <v>5</v>
      </c>
      <c r="E6" t="s">
        <v>0</v>
      </c>
      <c r="F6" t="s">
        <v>53</v>
      </c>
      <c r="G6">
        <v>252</v>
      </c>
      <c r="I6">
        <v>3</v>
      </c>
      <c r="J6">
        <v>756</v>
      </c>
      <c r="K6">
        <v>252</v>
      </c>
      <c r="L6">
        <v>756</v>
      </c>
      <c r="M6">
        <v>0</v>
      </c>
    </row>
    <row r="7" spans="1:18">
      <c r="A7">
        <v>6</v>
      </c>
      <c r="B7" t="s">
        <v>55</v>
      </c>
      <c r="C7" t="s">
        <v>57</v>
      </c>
      <c r="D7">
        <v>6</v>
      </c>
      <c r="E7" t="s">
        <v>0</v>
      </c>
      <c r="F7" t="s">
        <v>59</v>
      </c>
      <c r="G7">
        <v>252</v>
      </c>
      <c r="I7">
        <v>3</v>
      </c>
      <c r="J7">
        <v>756</v>
      </c>
      <c r="K7">
        <v>252</v>
      </c>
      <c r="L7">
        <v>756</v>
      </c>
      <c r="M7">
        <v>0</v>
      </c>
    </row>
    <row r="8" spans="1:18">
      <c r="A8">
        <v>7</v>
      </c>
      <c r="B8" t="s">
        <v>55</v>
      </c>
      <c r="C8" t="s">
        <v>57</v>
      </c>
      <c r="D8">
        <v>7</v>
      </c>
      <c r="E8" t="s">
        <v>41</v>
      </c>
      <c r="F8" t="s">
        <v>54</v>
      </c>
      <c r="G8">
        <v>145.67733151803949</v>
      </c>
      <c r="H8" t="s">
        <v>244</v>
      </c>
      <c r="I8">
        <v>1</v>
      </c>
      <c r="J8">
        <v>145.67733151803949</v>
      </c>
      <c r="K8">
        <v>145.68</v>
      </c>
      <c r="L8">
        <v>145.68</v>
      </c>
      <c r="M8">
        <v>2.6684819605122811E-3</v>
      </c>
    </row>
    <row r="9" spans="1:18">
      <c r="A9">
        <v>8</v>
      </c>
      <c r="B9" t="s">
        <v>55</v>
      </c>
      <c r="C9" t="s">
        <v>57</v>
      </c>
      <c r="D9">
        <v>8</v>
      </c>
      <c r="E9" t="s">
        <v>41</v>
      </c>
      <c r="F9" t="s">
        <v>125</v>
      </c>
      <c r="G9">
        <v>6.8073519400953035</v>
      </c>
      <c r="H9" t="s">
        <v>245</v>
      </c>
      <c r="I9">
        <v>3</v>
      </c>
      <c r="J9">
        <v>20.422055820285912</v>
      </c>
      <c r="K9">
        <v>6.81</v>
      </c>
      <c r="L9">
        <v>20.43</v>
      </c>
      <c r="M9">
        <v>7.9441797140873405E-3</v>
      </c>
    </row>
    <row r="10" spans="1:18">
      <c r="A10">
        <v>9</v>
      </c>
      <c r="B10" t="s">
        <v>134</v>
      </c>
      <c r="C10" t="s">
        <v>132</v>
      </c>
      <c r="D10">
        <v>1</v>
      </c>
      <c r="E10" t="s">
        <v>0</v>
      </c>
      <c r="F10" t="s">
        <v>48</v>
      </c>
      <c r="G10">
        <v>150</v>
      </c>
      <c r="I10">
        <v>1</v>
      </c>
      <c r="J10">
        <v>150</v>
      </c>
      <c r="K10">
        <v>150</v>
      </c>
      <c r="L10">
        <v>150</v>
      </c>
      <c r="M10">
        <v>0</v>
      </c>
    </row>
    <row r="11" spans="1:18">
      <c r="A11">
        <v>10</v>
      </c>
      <c r="B11" t="s">
        <v>134</v>
      </c>
      <c r="C11" t="s">
        <v>132</v>
      </c>
      <c r="D11">
        <v>2</v>
      </c>
      <c r="E11" t="s">
        <v>0</v>
      </c>
      <c r="F11" t="s">
        <v>49</v>
      </c>
      <c r="G11">
        <v>150</v>
      </c>
      <c r="I11">
        <v>1</v>
      </c>
      <c r="J11">
        <v>150</v>
      </c>
      <c r="K11">
        <v>150</v>
      </c>
      <c r="L11">
        <v>150</v>
      </c>
      <c r="M11">
        <v>0</v>
      </c>
    </row>
    <row r="12" spans="1:18">
      <c r="A12">
        <v>11</v>
      </c>
      <c r="B12" t="s">
        <v>134</v>
      </c>
      <c r="C12" t="s">
        <v>132</v>
      </c>
      <c r="D12">
        <v>3</v>
      </c>
      <c r="E12" t="s">
        <v>0</v>
      </c>
      <c r="F12" t="s">
        <v>50</v>
      </c>
      <c r="G12">
        <v>372</v>
      </c>
      <c r="I12">
        <v>1</v>
      </c>
      <c r="J12">
        <v>372</v>
      </c>
      <c r="K12">
        <v>372</v>
      </c>
      <c r="L12">
        <v>372</v>
      </c>
      <c r="M12">
        <v>0</v>
      </c>
    </row>
    <row r="13" spans="1:18">
      <c r="A13">
        <v>12</v>
      </c>
      <c r="B13" t="s">
        <v>134</v>
      </c>
      <c r="C13" t="s">
        <v>132</v>
      </c>
      <c r="D13">
        <v>4</v>
      </c>
      <c r="E13" t="s">
        <v>0</v>
      </c>
      <c r="F13" t="s">
        <v>64</v>
      </c>
      <c r="G13">
        <v>252</v>
      </c>
      <c r="I13">
        <v>1</v>
      </c>
      <c r="J13">
        <v>252</v>
      </c>
      <c r="K13">
        <v>252</v>
      </c>
      <c r="L13">
        <v>252</v>
      </c>
      <c r="M13">
        <v>0</v>
      </c>
    </row>
    <row r="14" spans="1:18">
      <c r="A14">
        <v>13</v>
      </c>
      <c r="B14" t="s">
        <v>134</v>
      </c>
      <c r="C14" t="s">
        <v>132</v>
      </c>
      <c r="D14">
        <v>5</v>
      </c>
      <c r="E14" t="s">
        <v>41</v>
      </c>
      <c r="F14" t="s">
        <v>137</v>
      </c>
      <c r="G14">
        <v>10</v>
      </c>
      <c r="I14">
        <v>1</v>
      </c>
      <c r="J14">
        <v>10</v>
      </c>
      <c r="K14">
        <v>10</v>
      </c>
      <c r="L14">
        <v>10</v>
      </c>
      <c r="M14">
        <v>0</v>
      </c>
    </row>
    <row r="15" spans="1:18">
      <c r="A15">
        <v>14</v>
      </c>
      <c r="B15" t="s">
        <v>134</v>
      </c>
      <c r="C15" t="s">
        <v>132</v>
      </c>
      <c r="D15">
        <v>6</v>
      </c>
      <c r="E15" t="s">
        <v>41</v>
      </c>
      <c r="F15" t="s">
        <v>138</v>
      </c>
      <c r="G15">
        <v>47.651463580667119</v>
      </c>
      <c r="H15" t="s">
        <v>246</v>
      </c>
      <c r="I15">
        <v>1</v>
      </c>
      <c r="J15">
        <v>47.651463580667119</v>
      </c>
      <c r="K15">
        <v>47.65</v>
      </c>
      <c r="L15">
        <v>47.65</v>
      </c>
      <c r="M15">
        <v>-1.4635806671208229E-3</v>
      </c>
    </row>
    <row r="16" spans="1:18">
      <c r="A16">
        <v>15</v>
      </c>
      <c r="B16" t="s">
        <v>134</v>
      </c>
      <c r="C16" t="s">
        <v>132</v>
      </c>
      <c r="D16">
        <v>7</v>
      </c>
      <c r="E16" t="s">
        <v>41</v>
      </c>
      <c r="F16" t="s">
        <v>139</v>
      </c>
      <c r="G16">
        <v>8.1688223281143646</v>
      </c>
      <c r="H16" t="s">
        <v>247</v>
      </c>
      <c r="I16">
        <v>1</v>
      </c>
      <c r="J16">
        <v>8.1688223281143646</v>
      </c>
      <c r="K16">
        <v>8.17</v>
      </c>
      <c r="L16">
        <v>8.17</v>
      </c>
      <c r="M16">
        <v>1.1776718856353341E-3</v>
      </c>
    </row>
    <row r="17" spans="1:13">
      <c r="A17" s="68">
        <v>16</v>
      </c>
      <c r="B17" s="68" t="s">
        <v>124</v>
      </c>
      <c r="C17" s="68" t="s">
        <v>114</v>
      </c>
      <c r="D17" s="68">
        <v>1</v>
      </c>
      <c r="E17" s="68" t="s">
        <v>0</v>
      </c>
      <c r="F17" s="68" t="s">
        <v>116</v>
      </c>
      <c r="G17" s="68">
        <v>49.01</v>
      </c>
      <c r="H17" s="69" t="s">
        <v>423</v>
      </c>
      <c r="I17" s="68">
        <v>1</v>
      </c>
      <c r="J17" s="68">
        <v>49.01</v>
      </c>
      <c r="K17" s="68">
        <v>49.01</v>
      </c>
      <c r="L17" s="68">
        <v>49.01</v>
      </c>
      <c r="M17" s="68">
        <v>0</v>
      </c>
    </row>
    <row r="18" spans="1:13">
      <c r="A18">
        <v>17</v>
      </c>
      <c r="B18" t="s">
        <v>61</v>
      </c>
      <c r="C18" t="s">
        <v>60</v>
      </c>
      <c r="D18">
        <v>1</v>
      </c>
      <c r="E18" t="s">
        <v>0</v>
      </c>
      <c r="F18" t="s">
        <v>48</v>
      </c>
      <c r="G18">
        <v>150</v>
      </c>
      <c r="I18">
        <v>1</v>
      </c>
      <c r="J18">
        <v>150</v>
      </c>
      <c r="K18">
        <v>150</v>
      </c>
      <c r="L18">
        <v>150</v>
      </c>
      <c r="M18">
        <v>0</v>
      </c>
    </row>
    <row r="19" spans="1:13">
      <c r="A19">
        <v>18</v>
      </c>
      <c r="B19" t="s">
        <v>61</v>
      </c>
      <c r="C19" t="s">
        <v>60</v>
      </c>
      <c r="D19">
        <v>2</v>
      </c>
      <c r="E19" t="s">
        <v>0</v>
      </c>
      <c r="F19" t="s">
        <v>49</v>
      </c>
      <c r="G19">
        <v>150</v>
      </c>
      <c r="I19">
        <v>1</v>
      </c>
      <c r="J19">
        <v>150</v>
      </c>
      <c r="K19">
        <v>150</v>
      </c>
      <c r="L19">
        <v>150</v>
      </c>
      <c r="M19">
        <v>0</v>
      </c>
    </row>
    <row r="20" spans="1:13">
      <c r="A20">
        <v>19</v>
      </c>
      <c r="B20" t="s">
        <v>61</v>
      </c>
      <c r="C20" t="s">
        <v>60</v>
      </c>
      <c r="D20">
        <v>3</v>
      </c>
      <c r="E20" t="s">
        <v>0</v>
      </c>
      <c r="F20" t="s">
        <v>50</v>
      </c>
      <c r="G20">
        <v>372</v>
      </c>
      <c r="I20">
        <v>1</v>
      </c>
      <c r="J20">
        <v>372</v>
      </c>
      <c r="K20">
        <v>372</v>
      </c>
      <c r="L20">
        <v>372</v>
      </c>
      <c r="M20">
        <v>0</v>
      </c>
    </row>
    <row r="21" spans="1:13">
      <c r="A21">
        <v>20</v>
      </c>
      <c r="B21" t="s">
        <v>61</v>
      </c>
      <c r="C21" t="s">
        <v>60</v>
      </c>
      <c r="D21">
        <v>4</v>
      </c>
      <c r="E21" t="s">
        <v>0</v>
      </c>
      <c r="F21" t="s">
        <v>64</v>
      </c>
      <c r="G21">
        <v>252</v>
      </c>
      <c r="I21">
        <v>1</v>
      </c>
      <c r="J21">
        <v>252</v>
      </c>
      <c r="K21">
        <v>252</v>
      </c>
      <c r="L21">
        <v>252</v>
      </c>
      <c r="M21">
        <v>0</v>
      </c>
    </row>
    <row r="22" spans="1:13">
      <c r="A22">
        <v>21</v>
      </c>
      <c r="B22" t="s">
        <v>61</v>
      </c>
      <c r="C22" t="s">
        <v>60</v>
      </c>
      <c r="D22">
        <v>5</v>
      </c>
      <c r="E22" t="s">
        <v>41</v>
      </c>
      <c r="F22" t="s">
        <v>65</v>
      </c>
      <c r="G22">
        <v>40.844111640571818</v>
      </c>
      <c r="H22" t="s">
        <v>249</v>
      </c>
      <c r="I22">
        <v>1</v>
      </c>
      <c r="J22">
        <v>40.844111640571818</v>
      </c>
      <c r="K22">
        <v>40.840000000000003</v>
      </c>
      <c r="L22">
        <v>40.840000000000003</v>
      </c>
      <c r="M22">
        <v>-4.1116405718142346E-3</v>
      </c>
    </row>
    <row r="23" spans="1:13">
      <c r="A23">
        <v>22</v>
      </c>
      <c r="B23" t="s">
        <v>61</v>
      </c>
      <c r="C23" t="s">
        <v>60</v>
      </c>
      <c r="D23">
        <v>6</v>
      </c>
      <c r="E23" t="s">
        <v>41</v>
      </c>
      <c r="F23" t="s">
        <v>128</v>
      </c>
      <c r="G23">
        <v>8.1688223281143646</v>
      </c>
      <c r="H23" t="s">
        <v>247</v>
      </c>
      <c r="I23">
        <v>1</v>
      </c>
      <c r="J23">
        <v>8.1688223281143646</v>
      </c>
      <c r="K23">
        <v>8.17</v>
      </c>
      <c r="L23">
        <v>8.17</v>
      </c>
      <c r="M23">
        <v>1.1776718856353341E-3</v>
      </c>
    </row>
    <row r="24" spans="1:13">
      <c r="A24">
        <v>23</v>
      </c>
      <c r="B24" t="s">
        <v>61</v>
      </c>
      <c r="C24" t="s">
        <v>60</v>
      </c>
      <c r="D24">
        <v>7</v>
      </c>
      <c r="E24" t="s">
        <v>41</v>
      </c>
      <c r="F24" t="s">
        <v>129</v>
      </c>
      <c r="G24">
        <v>21.78352620830497</v>
      </c>
      <c r="H24" t="s">
        <v>250</v>
      </c>
      <c r="I24">
        <v>1</v>
      </c>
      <c r="J24">
        <v>21.78352620830497</v>
      </c>
      <c r="K24">
        <v>21.78</v>
      </c>
      <c r="L24">
        <v>21.78</v>
      </c>
      <c r="M24">
        <v>-3.5262083049687476E-3</v>
      </c>
    </row>
    <row r="25" spans="1:13">
      <c r="A25">
        <v>24</v>
      </c>
      <c r="B25" t="s">
        <v>67</v>
      </c>
      <c r="C25" t="s">
        <v>66</v>
      </c>
      <c r="D25">
        <v>1</v>
      </c>
      <c r="E25" t="s">
        <v>0</v>
      </c>
      <c r="F25" t="s">
        <v>48</v>
      </c>
      <c r="G25">
        <v>80</v>
      </c>
      <c r="I25">
        <v>1</v>
      </c>
      <c r="J25">
        <v>80</v>
      </c>
      <c r="K25">
        <v>80</v>
      </c>
      <c r="L25">
        <v>80</v>
      </c>
      <c r="M25">
        <v>0</v>
      </c>
    </row>
    <row r="26" spans="1:13">
      <c r="A26">
        <v>25</v>
      </c>
      <c r="B26" t="s">
        <v>67</v>
      </c>
      <c r="C26" t="s">
        <v>66</v>
      </c>
      <c r="D26">
        <v>2</v>
      </c>
      <c r="E26" t="s">
        <v>0</v>
      </c>
      <c r="F26" t="s">
        <v>49</v>
      </c>
      <c r="G26">
        <v>150</v>
      </c>
      <c r="I26">
        <v>1</v>
      </c>
      <c r="J26">
        <v>150</v>
      </c>
      <c r="K26">
        <v>150</v>
      </c>
      <c r="L26">
        <v>150</v>
      </c>
      <c r="M26">
        <v>0</v>
      </c>
    </row>
    <row r="27" spans="1:13">
      <c r="A27">
        <v>26</v>
      </c>
      <c r="B27" t="s">
        <v>67</v>
      </c>
      <c r="C27" t="s">
        <v>66</v>
      </c>
      <c r="D27">
        <v>3</v>
      </c>
      <c r="E27" t="s">
        <v>0</v>
      </c>
      <c r="F27" t="s">
        <v>73</v>
      </c>
      <c r="G27">
        <v>0.55000000000000004</v>
      </c>
      <c r="I27">
        <v>2136</v>
      </c>
      <c r="J27">
        <v>1174.8000000000002</v>
      </c>
      <c r="K27">
        <v>0.55000000000000004</v>
      </c>
      <c r="L27">
        <v>1174.8000000000002</v>
      </c>
      <c r="M27">
        <v>0</v>
      </c>
    </row>
    <row r="28" spans="1:13">
      <c r="A28">
        <v>27</v>
      </c>
      <c r="B28" t="s">
        <v>67</v>
      </c>
      <c r="C28" t="s">
        <v>66</v>
      </c>
      <c r="D28">
        <v>4</v>
      </c>
      <c r="E28" t="s">
        <v>0</v>
      </c>
      <c r="F28" t="s">
        <v>74</v>
      </c>
      <c r="G28">
        <v>200</v>
      </c>
      <c r="I28">
        <v>1</v>
      </c>
      <c r="J28">
        <v>200</v>
      </c>
      <c r="K28">
        <v>200</v>
      </c>
      <c r="L28">
        <v>200</v>
      </c>
      <c r="M28">
        <v>0</v>
      </c>
    </row>
    <row r="29" spans="1:13">
      <c r="A29">
        <v>28</v>
      </c>
      <c r="B29" t="s">
        <v>67</v>
      </c>
      <c r="C29" t="s">
        <v>66</v>
      </c>
      <c r="D29">
        <v>5</v>
      </c>
      <c r="E29" t="s">
        <v>41</v>
      </c>
      <c r="F29" t="s">
        <v>75</v>
      </c>
      <c r="G29">
        <v>7.3519400953029272</v>
      </c>
      <c r="H29" t="s">
        <v>251</v>
      </c>
      <c r="I29">
        <v>1</v>
      </c>
      <c r="J29">
        <v>7.3519400953029272</v>
      </c>
      <c r="K29">
        <v>7.35</v>
      </c>
      <c r="L29">
        <v>7.35</v>
      </c>
      <c r="M29">
        <v>-1.9400953029276025E-3</v>
      </c>
    </row>
    <row r="30" spans="1:13">
      <c r="A30">
        <v>29</v>
      </c>
      <c r="B30" t="s">
        <v>67</v>
      </c>
      <c r="C30" t="s">
        <v>66</v>
      </c>
      <c r="D30">
        <v>6</v>
      </c>
      <c r="E30" t="s">
        <v>41</v>
      </c>
      <c r="F30" t="s">
        <v>76</v>
      </c>
      <c r="G30">
        <v>9.5302927161334239</v>
      </c>
      <c r="H30" t="s">
        <v>252</v>
      </c>
      <c r="I30">
        <v>1</v>
      </c>
      <c r="J30">
        <v>9.5302927161334239</v>
      </c>
      <c r="K30">
        <v>9.5299999999999994</v>
      </c>
      <c r="L30">
        <v>9.5299999999999994</v>
      </c>
      <c r="M30">
        <v>-2.9271613342451985E-4</v>
      </c>
    </row>
    <row r="31" spans="1:13">
      <c r="A31">
        <v>30</v>
      </c>
      <c r="B31" t="s">
        <v>97</v>
      </c>
      <c r="C31" t="s">
        <v>95</v>
      </c>
      <c r="D31">
        <v>1</v>
      </c>
      <c r="E31" t="s">
        <v>0</v>
      </c>
      <c r="F31" t="s">
        <v>48</v>
      </c>
      <c r="G31">
        <v>150</v>
      </c>
      <c r="I31">
        <v>1</v>
      </c>
      <c r="J31">
        <v>150</v>
      </c>
      <c r="K31">
        <v>150</v>
      </c>
      <c r="L31">
        <v>150</v>
      </c>
      <c r="M31">
        <v>0</v>
      </c>
    </row>
    <row r="32" spans="1:13">
      <c r="A32">
        <v>31</v>
      </c>
      <c r="B32" t="s">
        <v>97</v>
      </c>
      <c r="C32" t="s">
        <v>95</v>
      </c>
      <c r="D32">
        <v>2</v>
      </c>
      <c r="E32" t="s">
        <v>0</v>
      </c>
      <c r="F32" t="s">
        <v>49</v>
      </c>
      <c r="G32">
        <v>150</v>
      </c>
      <c r="I32">
        <v>1</v>
      </c>
      <c r="J32">
        <v>150</v>
      </c>
      <c r="K32">
        <v>150</v>
      </c>
      <c r="L32">
        <v>150</v>
      </c>
      <c r="M32">
        <v>0</v>
      </c>
    </row>
    <row r="33" spans="1:13">
      <c r="A33">
        <v>32</v>
      </c>
      <c r="B33" t="s">
        <v>97</v>
      </c>
      <c r="C33" t="s">
        <v>95</v>
      </c>
      <c r="D33">
        <v>3</v>
      </c>
      <c r="E33" t="s">
        <v>0</v>
      </c>
      <c r="F33" t="s">
        <v>98</v>
      </c>
      <c r="G33">
        <v>479</v>
      </c>
      <c r="I33">
        <v>1</v>
      </c>
      <c r="J33">
        <v>479</v>
      </c>
      <c r="K33">
        <v>479</v>
      </c>
      <c r="L33">
        <v>479</v>
      </c>
      <c r="M33">
        <v>0</v>
      </c>
    </row>
    <row r="34" spans="1:13">
      <c r="A34">
        <v>33</v>
      </c>
      <c r="B34" t="s">
        <v>97</v>
      </c>
      <c r="C34" t="s">
        <v>95</v>
      </c>
      <c r="D34">
        <v>4</v>
      </c>
      <c r="E34" t="s">
        <v>0</v>
      </c>
      <c r="F34" t="s">
        <v>99</v>
      </c>
      <c r="G34">
        <v>252</v>
      </c>
      <c r="I34">
        <v>1</v>
      </c>
      <c r="J34">
        <v>252</v>
      </c>
      <c r="K34">
        <v>252</v>
      </c>
      <c r="L34">
        <v>252</v>
      </c>
      <c r="M34">
        <v>0</v>
      </c>
    </row>
    <row r="35" spans="1:13">
      <c r="A35">
        <v>34</v>
      </c>
      <c r="B35" t="s">
        <v>97</v>
      </c>
      <c r="C35" t="s">
        <v>95</v>
      </c>
      <c r="D35">
        <v>5</v>
      </c>
      <c r="E35" t="s">
        <v>41</v>
      </c>
      <c r="F35" t="s">
        <v>100</v>
      </c>
      <c r="G35">
        <v>8</v>
      </c>
      <c r="H35" t="s">
        <v>253</v>
      </c>
      <c r="I35">
        <v>1</v>
      </c>
      <c r="J35">
        <v>8</v>
      </c>
      <c r="K35">
        <v>8</v>
      </c>
      <c r="L35">
        <v>8</v>
      </c>
      <c r="M35">
        <v>0</v>
      </c>
    </row>
    <row r="36" spans="1:13">
      <c r="A36">
        <v>35</v>
      </c>
      <c r="B36" t="s">
        <v>97</v>
      </c>
      <c r="C36" t="s">
        <v>95</v>
      </c>
      <c r="D36">
        <v>6</v>
      </c>
      <c r="E36" t="s">
        <v>41</v>
      </c>
      <c r="F36" t="s">
        <v>101</v>
      </c>
      <c r="G36">
        <v>35.398230088495573</v>
      </c>
      <c r="H36" t="s">
        <v>254</v>
      </c>
      <c r="I36">
        <v>1</v>
      </c>
      <c r="J36">
        <v>35.398230088495573</v>
      </c>
      <c r="K36">
        <v>35.4</v>
      </c>
      <c r="L36">
        <v>35.4</v>
      </c>
      <c r="M36">
        <v>1.7699115044251812E-3</v>
      </c>
    </row>
    <row r="37" spans="1:13">
      <c r="A37">
        <v>36</v>
      </c>
      <c r="B37" t="s">
        <v>97</v>
      </c>
      <c r="C37" t="s">
        <v>95</v>
      </c>
      <c r="D37">
        <v>7</v>
      </c>
      <c r="E37" t="s">
        <v>41</v>
      </c>
      <c r="F37" t="s">
        <v>102</v>
      </c>
      <c r="G37">
        <v>9.5302927161334239</v>
      </c>
      <c r="H37" t="s">
        <v>252</v>
      </c>
      <c r="I37">
        <v>1</v>
      </c>
      <c r="J37">
        <v>9.5302927161334239</v>
      </c>
      <c r="K37">
        <v>9.5299999999999994</v>
      </c>
      <c r="L37">
        <v>9.5299999999999994</v>
      </c>
      <c r="M37">
        <v>-2.9271613342451985E-4</v>
      </c>
    </row>
    <row r="38" spans="1:13">
      <c r="A38">
        <v>37</v>
      </c>
      <c r="B38" t="s">
        <v>97</v>
      </c>
      <c r="C38" t="s">
        <v>95</v>
      </c>
      <c r="D38">
        <v>8</v>
      </c>
      <c r="E38" t="s">
        <v>41</v>
      </c>
      <c r="F38" t="s">
        <v>103</v>
      </c>
      <c r="G38">
        <v>6.8073519400953035</v>
      </c>
      <c r="H38" t="s">
        <v>245</v>
      </c>
      <c r="I38">
        <v>1</v>
      </c>
      <c r="J38">
        <v>6.8073519400953035</v>
      </c>
      <c r="K38">
        <v>6.81</v>
      </c>
      <c r="L38">
        <v>6.81</v>
      </c>
      <c r="M38">
        <v>2.6480599046960762E-3</v>
      </c>
    </row>
    <row r="39" spans="1:13">
      <c r="A39">
        <v>38</v>
      </c>
      <c r="B39" t="s">
        <v>97</v>
      </c>
      <c r="C39" t="s">
        <v>95</v>
      </c>
      <c r="D39">
        <v>9</v>
      </c>
      <c r="E39" t="s">
        <v>41</v>
      </c>
      <c r="F39" t="s">
        <v>104</v>
      </c>
      <c r="G39">
        <v>21.78352620830497</v>
      </c>
      <c r="H39" t="s">
        <v>248</v>
      </c>
      <c r="I39">
        <v>1</v>
      </c>
      <c r="J39">
        <v>21.78352620830497</v>
      </c>
      <c r="K39">
        <v>21.78</v>
      </c>
      <c r="L39">
        <v>21.78</v>
      </c>
      <c r="M39">
        <v>-3.5262083049687476E-3</v>
      </c>
    </row>
    <row r="40" spans="1:13">
      <c r="A40">
        <v>39</v>
      </c>
      <c r="B40" t="s">
        <v>123</v>
      </c>
      <c r="C40" t="s">
        <v>121</v>
      </c>
      <c r="D40">
        <v>1</v>
      </c>
      <c r="E40" t="s">
        <v>0</v>
      </c>
      <c r="F40" t="s">
        <v>48</v>
      </c>
      <c r="G40">
        <v>80</v>
      </c>
      <c r="I40">
        <v>1</v>
      </c>
      <c r="J40">
        <v>80</v>
      </c>
      <c r="K40">
        <v>80</v>
      </c>
      <c r="L40">
        <v>80</v>
      </c>
      <c r="M40">
        <v>0</v>
      </c>
    </row>
    <row r="41" spans="1:13">
      <c r="A41">
        <v>40</v>
      </c>
      <c r="B41" t="s">
        <v>123</v>
      </c>
      <c r="C41" t="s">
        <v>121</v>
      </c>
      <c r="D41">
        <v>2</v>
      </c>
      <c r="E41" t="s">
        <v>0</v>
      </c>
      <c r="F41" t="s">
        <v>49</v>
      </c>
      <c r="G41">
        <v>150</v>
      </c>
      <c r="I41">
        <v>1</v>
      </c>
      <c r="J41">
        <v>150</v>
      </c>
      <c r="K41">
        <v>150</v>
      </c>
      <c r="L41">
        <v>150</v>
      </c>
      <c r="M41">
        <v>0</v>
      </c>
    </row>
    <row r="42" spans="1:13">
      <c r="A42">
        <v>41</v>
      </c>
      <c r="B42" t="s">
        <v>123</v>
      </c>
      <c r="C42" t="s">
        <v>121</v>
      </c>
      <c r="D42">
        <v>3</v>
      </c>
      <c r="E42" t="s">
        <v>0</v>
      </c>
      <c r="F42" t="s">
        <v>73</v>
      </c>
      <c r="G42">
        <v>0.55000000000000004</v>
      </c>
      <c r="I42">
        <v>2178</v>
      </c>
      <c r="J42">
        <v>1197.9000000000001</v>
      </c>
      <c r="K42">
        <v>0.55000000000000004</v>
      </c>
      <c r="L42">
        <v>1197.9000000000001</v>
      </c>
      <c r="M42">
        <v>0</v>
      </c>
    </row>
    <row r="43" spans="1:13">
      <c r="A43">
        <v>42</v>
      </c>
      <c r="B43" t="s">
        <v>123</v>
      </c>
      <c r="C43" t="s">
        <v>121</v>
      </c>
      <c r="D43">
        <v>4</v>
      </c>
      <c r="E43" t="s">
        <v>0</v>
      </c>
      <c r="F43" t="s">
        <v>117</v>
      </c>
      <c r="G43">
        <v>100</v>
      </c>
      <c r="I43">
        <v>1</v>
      </c>
      <c r="J43">
        <v>100</v>
      </c>
      <c r="K43">
        <v>100</v>
      </c>
      <c r="L43">
        <v>100</v>
      </c>
      <c r="M43">
        <v>0</v>
      </c>
    </row>
    <row r="44" spans="1:13">
      <c r="A44">
        <v>43</v>
      </c>
      <c r="B44" t="s">
        <v>123</v>
      </c>
      <c r="C44" t="s">
        <v>121</v>
      </c>
      <c r="D44">
        <v>5</v>
      </c>
      <c r="E44" t="s">
        <v>0</v>
      </c>
      <c r="F44" t="s">
        <v>118</v>
      </c>
      <c r="G44">
        <v>810</v>
      </c>
      <c r="H44" t="s">
        <v>255</v>
      </c>
      <c r="I44">
        <v>1</v>
      </c>
      <c r="J44">
        <v>810</v>
      </c>
      <c r="K44">
        <v>810</v>
      </c>
      <c r="L44">
        <v>810</v>
      </c>
      <c r="M44">
        <v>0</v>
      </c>
    </row>
    <row r="45" spans="1:13">
      <c r="A45">
        <v>44</v>
      </c>
      <c r="B45" t="s">
        <v>123</v>
      </c>
      <c r="C45" t="s">
        <v>121</v>
      </c>
      <c r="D45">
        <v>6</v>
      </c>
      <c r="E45" t="s">
        <v>41</v>
      </c>
      <c r="F45" t="s">
        <v>119</v>
      </c>
      <c r="G45">
        <v>9.5302927161334239</v>
      </c>
      <c r="H45" t="s">
        <v>252</v>
      </c>
      <c r="I45">
        <v>1</v>
      </c>
      <c r="J45">
        <v>9.5302927161334239</v>
      </c>
      <c r="K45">
        <v>9.5299999999999994</v>
      </c>
      <c r="L45">
        <v>9.5299999999999994</v>
      </c>
      <c r="M45">
        <v>-2.9271613342451985E-4</v>
      </c>
    </row>
    <row r="46" spans="1:13">
      <c r="A46">
        <v>45</v>
      </c>
      <c r="B46" t="s">
        <v>123</v>
      </c>
      <c r="C46" t="s">
        <v>121</v>
      </c>
      <c r="D46">
        <v>7</v>
      </c>
      <c r="E46" t="s">
        <v>41</v>
      </c>
      <c r="F46" t="s">
        <v>120</v>
      </c>
      <c r="G46">
        <v>7.3519400953029272</v>
      </c>
      <c r="H46" t="s">
        <v>251</v>
      </c>
      <c r="I46">
        <v>1</v>
      </c>
      <c r="J46">
        <v>7.3519400953029272</v>
      </c>
      <c r="K46">
        <v>7.35</v>
      </c>
      <c r="L46">
        <v>7.35</v>
      </c>
      <c r="M46">
        <v>-1.9400953029276025E-3</v>
      </c>
    </row>
    <row r="47" spans="1:13">
      <c r="A47">
        <v>46</v>
      </c>
      <c r="B47" t="s">
        <v>78</v>
      </c>
      <c r="C47" t="s">
        <v>77</v>
      </c>
      <c r="D47">
        <v>1</v>
      </c>
      <c r="E47" t="s">
        <v>0</v>
      </c>
      <c r="F47" t="s">
        <v>48</v>
      </c>
      <c r="G47">
        <v>150</v>
      </c>
      <c r="I47">
        <v>1</v>
      </c>
      <c r="J47">
        <v>150</v>
      </c>
      <c r="K47">
        <v>150</v>
      </c>
      <c r="L47">
        <v>150</v>
      </c>
      <c r="M47">
        <v>0</v>
      </c>
    </row>
    <row r="48" spans="1:13">
      <c r="A48">
        <v>47</v>
      </c>
      <c r="B48" t="s">
        <v>78</v>
      </c>
      <c r="C48" t="s">
        <v>77</v>
      </c>
      <c r="D48">
        <v>2</v>
      </c>
      <c r="E48" t="s">
        <v>0</v>
      </c>
      <c r="F48" t="s">
        <v>49</v>
      </c>
      <c r="G48">
        <v>150</v>
      </c>
      <c r="I48">
        <v>1</v>
      </c>
      <c r="J48">
        <v>150</v>
      </c>
      <c r="K48">
        <v>150</v>
      </c>
      <c r="L48">
        <v>150</v>
      </c>
      <c r="M48">
        <v>0</v>
      </c>
    </row>
    <row r="49" spans="1:13">
      <c r="A49">
        <v>48</v>
      </c>
      <c r="B49" t="s">
        <v>81</v>
      </c>
      <c r="C49" t="s">
        <v>80</v>
      </c>
      <c r="D49">
        <v>1</v>
      </c>
      <c r="E49" t="s">
        <v>0</v>
      </c>
      <c r="F49" t="s">
        <v>48</v>
      </c>
      <c r="G49">
        <v>150</v>
      </c>
      <c r="I49">
        <v>1</v>
      </c>
      <c r="J49">
        <v>150</v>
      </c>
      <c r="K49">
        <v>150</v>
      </c>
      <c r="L49">
        <v>150</v>
      </c>
      <c r="M49">
        <v>0</v>
      </c>
    </row>
    <row r="50" spans="1:13">
      <c r="A50">
        <v>49</v>
      </c>
      <c r="B50" t="s">
        <v>81</v>
      </c>
      <c r="C50" t="s">
        <v>80</v>
      </c>
      <c r="D50">
        <v>2</v>
      </c>
      <c r="E50" t="s">
        <v>0</v>
      </c>
      <c r="F50" t="s">
        <v>49</v>
      </c>
      <c r="G50">
        <v>150</v>
      </c>
      <c r="I50">
        <v>1</v>
      </c>
      <c r="J50">
        <v>150</v>
      </c>
      <c r="K50">
        <v>150</v>
      </c>
      <c r="L50">
        <v>150</v>
      </c>
      <c r="M50">
        <v>0</v>
      </c>
    </row>
    <row r="51" spans="1:13">
      <c r="A51">
        <v>50</v>
      </c>
      <c r="B51" t="s">
        <v>85</v>
      </c>
      <c r="C51" t="s">
        <v>83</v>
      </c>
      <c r="D51">
        <v>1</v>
      </c>
      <c r="E51" t="s">
        <v>0</v>
      </c>
      <c r="F51" t="s">
        <v>48</v>
      </c>
      <c r="G51">
        <v>150</v>
      </c>
      <c r="I51">
        <v>1</v>
      </c>
      <c r="J51">
        <v>150</v>
      </c>
      <c r="K51">
        <v>150</v>
      </c>
      <c r="L51">
        <v>150</v>
      </c>
      <c r="M51">
        <v>0</v>
      </c>
    </row>
    <row r="52" spans="1:13">
      <c r="A52">
        <v>51</v>
      </c>
      <c r="B52" t="s">
        <v>85</v>
      </c>
      <c r="C52" t="s">
        <v>83</v>
      </c>
      <c r="D52">
        <v>2</v>
      </c>
      <c r="E52" t="s">
        <v>0</v>
      </c>
      <c r="F52" t="s">
        <v>49</v>
      </c>
      <c r="G52">
        <v>150</v>
      </c>
      <c r="I52">
        <v>1</v>
      </c>
      <c r="J52">
        <v>150</v>
      </c>
      <c r="K52">
        <v>150</v>
      </c>
      <c r="L52">
        <v>150</v>
      </c>
      <c r="M52">
        <v>0</v>
      </c>
    </row>
    <row r="53" spans="1:13">
      <c r="A53">
        <v>52</v>
      </c>
      <c r="B53" t="s">
        <v>88</v>
      </c>
      <c r="C53" t="s">
        <v>86</v>
      </c>
      <c r="D53">
        <v>1</v>
      </c>
      <c r="E53" t="s">
        <v>0</v>
      </c>
      <c r="F53" t="s">
        <v>48</v>
      </c>
      <c r="G53">
        <v>150</v>
      </c>
      <c r="I53">
        <v>1</v>
      </c>
      <c r="J53">
        <v>150</v>
      </c>
      <c r="K53">
        <v>150</v>
      </c>
      <c r="L53">
        <v>150</v>
      </c>
      <c r="M53">
        <v>0</v>
      </c>
    </row>
    <row r="54" spans="1:13">
      <c r="A54">
        <v>53</v>
      </c>
      <c r="B54" t="s">
        <v>88</v>
      </c>
      <c r="C54" t="s">
        <v>86</v>
      </c>
      <c r="D54">
        <v>2</v>
      </c>
      <c r="E54" t="s">
        <v>0</v>
      </c>
      <c r="F54" t="s">
        <v>49</v>
      </c>
      <c r="G54">
        <v>150</v>
      </c>
      <c r="I54">
        <v>1</v>
      </c>
      <c r="J54">
        <v>150</v>
      </c>
      <c r="K54">
        <v>150</v>
      </c>
      <c r="L54">
        <v>150</v>
      </c>
      <c r="M54">
        <v>0</v>
      </c>
    </row>
    <row r="55" spans="1:13">
      <c r="A55">
        <v>54</v>
      </c>
      <c r="B55" t="s">
        <v>113</v>
      </c>
      <c r="C55" t="s">
        <v>111</v>
      </c>
      <c r="D55">
        <v>1</v>
      </c>
      <c r="E55" t="s">
        <v>0</v>
      </c>
      <c r="F55" t="s">
        <v>48</v>
      </c>
      <c r="G55">
        <v>150</v>
      </c>
      <c r="I55">
        <v>1</v>
      </c>
      <c r="J55">
        <v>150</v>
      </c>
      <c r="K55">
        <v>150</v>
      </c>
      <c r="L55">
        <v>150</v>
      </c>
      <c r="M55">
        <v>0</v>
      </c>
    </row>
    <row r="56" spans="1:13">
      <c r="A56">
        <v>55</v>
      </c>
      <c r="B56" t="s">
        <v>113</v>
      </c>
      <c r="C56" t="s">
        <v>111</v>
      </c>
      <c r="D56">
        <v>2</v>
      </c>
      <c r="E56" t="s">
        <v>0</v>
      </c>
      <c r="F56" t="s">
        <v>49</v>
      </c>
      <c r="G56">
        <v>150</v>
      </c>
      <c r="I56">
        <v>1</v>
      </c>
      <c r="J56">
        <v>150</v>
      </c>
      <c r="K56">
        <v>150</v>
      </c>
      <c r="L56">
        <v>150</v>
      </c>
      <c r="M56">
        <v>0</v>
      </c>
    </row>
    <row r="57" spans="1:13">
      <c r="A57">
        <v>56</v>
      </c>
      <c r="B57" t="s">
        <v>94</v>
      </c>
      <c r="C57" t="s">
        <v>92</v>
      </c>
      <c r="D57">
        <v>1</v>
      </c>
      <c r="E57" t="s">
        <v>0</v>
      </c>
      <c r="F57" t="s">
        <v>48</v>
      </c>
      <c r="G57">
        <v>150</v>
      </c>
      <c r="I57">
        <v>1</v>
      </c>
      <c r="J57">
        <v>150</v>
      </c>
      <c r="K57">
        <v>150</v>
      </c>
      <c r="L57">
        <v>150</v>
      </c>
      <c r="M57">
        <v>0</v>
      </c>
    </row>
    <row r="58" spans="1:13">
      <c r="A58">
        <v>57</v>
      </c>
      <c r="B58" t="s">
        <v>94</v>
      </c>
      <c r="C58" t="s">
        <v>92</v>
      </c>
      <c r="D58">
        <v>2</v>
      </c>
      <c r="E58" t="s">
        <v>0</v>
      </c>
      <c r="F58" t="s">
        <v>49</v>
      </c>
      <c r="G58">
        <v>150</v>
      </c>
      <c r="I58">
        <v>1</v>
      </c>
      <c r="J58">
        <v>150</v>
      </c>
      <c r="K58">
        <v>150</v>
      </c>
      <c r="L58">
        <v>150</v>
      </c>
      <c r="M58">
        <v>0</v>
      </c>
    </row>
    <row r="59" spans="1:13">
      <c r="A59">
        <v>58</v>
      </c>
      <c r="B59" t="s">
        <v>106</v>
      </c>
      <c r="C59" t="s">
        <v>105</v>
      </c>
      <c r="D59">
        <v>1</v>
      </c>
      <c r="E59" t="s">
        <v>0</v>
      </c>
      <c r="F59" t="s">
        <v>48</v>
      </c>
      <c r="G59">
        <v>150</v>
      </c>
      <c r="I59">
        <v>1</v>
      </c>
      <c r="J59">
        <v>150</v>
      </c>
      <c r="K59">
        <v>150</v>
      </c>
      <c r="L59">
        <v>150</v>
      </c>
      <c r="M59">
        <v>0</v>
      </c>
    </row>
    <row r="60" spans="1:13">
      <c r="A60">
        <v>59</v>
      </c>
      <c r="B60" t="s">
        <v>106</v>
      </c>
      <c r="C60" t="s">
        <v>105</v>
      </c>
      <c r="D60">
        <v>2</v>
      </c>
      <c r="E60" t="s">
        <v>0</v>
      </c>
      <c r="F60" t="s">
        <v>49</v>
      </c>
      <c r="G60">
        <v>150</v>
      </c>
      <c r="I60">
        <v>1</v>
      </c>
      <c r="J60">
        <v>150</v>
      </c>
      <c r="K60">
        <v>150</v>
      </c>
      <c r="L60">
        <v>150</v>
      </c>
      <c r="M60">
        <v>0</v>
      </c>
    </row>
    <row r="61" spans="1:13">
      <c r="A61">
        <v>60</v>
      </c>
      <c r="B61" t="s">
        <v>91</v>
      </c>
      <c r="C61" t="s">
        <v>89</v>
      </c>
      <c r="D61">
        <v>1</v>
      </c>
      <c r="E61" t="s">
        <v>0</v>
      </c>
      <c r="F61" t="s">
        <v>48</v>
      </c>
      <c r="G61">
        <v>80</v>
      </c>
      <c r="I61">
        <v>1</v>
      </c>
      <c r="J61">
        <v>80</v>
      </c>
      <c r="K61">
        <v>80</v>
      </c>
      <c r="L61">
        <v>80</v>
      </c>
      <c r="M61">
        <v>0</v>
      </c>
    </row>
    <row r="62" spans="1:13">
      <c r="A62">
        <v>61</v>
      </c>
      <c r="B62" t="s">
        <v>91</v>
      </c>
      <c r="C62" t="s">
        <v>89</v>
      </c>
      <c r="D62">
        <v>2</v>
      </c>
      <c r="E62" t="s">
        <v>0</v>
      </c>
      <c r="F62" t="s">
        <v>49</v>
      </c>
      <c r="G62">
        <v>150</v>
      </c>
      <c r="I62">
        <v>1</v>
      </c>
      <c r="J62">
        <v>150</v>
      </c>
      <c r="K62">
        <v>150</v>
      </c>
      <c r="L62">
        <v>150</v>
      </c>
      <c r="M62">
        <v>0</v>
      </c>
    </row>
    <row r="63" spans="1:13">
      <c r="A63">
        <v>62</v>
      </c>
      <c r="B63" t="s">
        <v>159</v>
      </c>
      <c r="C63" t="s">
        <v>158</v>
      </c>
      <c r="D63">
        <v>1</v>
      </c>
      <c r="E63" t="s">
        <v>0</v>
      </c>
      <c r="F63" t="s">
        <v>48</v>
      </c>
      <c r="G63">
        <v>150</v>
      </c>
      <c r="I63">
        <v>1</v>
      </c>
      <c r="J63">
        <v>150</v>
      </c>
      <c r="K63">
        <v>150</v>
      </c>
      <c r="L63">
        <v>150</v>
      </c>
      <c r="M63">
        <v>0</v>
      </c>
    </row>
    <row r="64" spans="1:13">
      <c r="A64">
        <v>63</v>
      </c>
      <c r="B64" t="s">
        <v>159</v>
      </c>
      <c r="C64" t="s">
        <v>158</v>
      </c>
      <c r="D64">
        <v>2</v>
      </c>
      <c r="E64" t="s">
        <v>0</v>
      </c>
      <c r="F64" t="s">
        <v>49</v>
      </c>
      <c r="G64">
        <v>150</v>
      </c>
      <c r="I64">
        <v>1</v>
      </c>
      <c r="J64">
        <v>150</v>
      </c>
      <c r="K64">
        <v>150</v>
      </c>
      <c r="L64">
        <v>150</v>
      </c>
      <c r="M64">
        <v>0</v>
      </c>
    </row>
    <row r="65" spans="1:13">
      <c r="A65">
        <v>64</v>
      </c>
      <c r="B65" t="s">
        <v>164</v>
      </c>
      <c r="C65" t="s">
        <v>162</v>
      </c>
      <c r="D65">
        <v>1</v>
      </c>
      <c r="E65" t="s">
        <v>0</v>
      </c>
      <c r="F65" t="s">
        <v>48</v>
      </c>
      <c r="G65">
        <v>150</v>
      </c>
      <c r="I65">
        <v>1</v>
      </c>
      <c r="J65">
        <v>150</v>
      </c>
      <c r="K65">
        <v>150</v>
      </c>
      <c r="L65">
        <v>150</v>
      </c>
      <c r="M65">
        <v>0</v>
      </c>
    </row>
    <row r="66" spans="1:13">
      <c r="A66">
        <v>65</v>
      </c>
      <c r="B66" t="s">
        <v>164</v>
      </c>
      <c r="C66" t="s">
        <v>162</v>
      </c>
      <c r="D66">
        <v>2</v>
      </c>
      <c r="E66" t="s">
        <v>0</v>
      </c>
      <c r="F66" t="s">
        <v>49</v>
      </c>
      <c r="G66">
        <v>150</v>
      </c>
      <c r="I66">
        <v>1</v>
      </c>
      <c r="J66">
        <v>150</v>
      </c>
      <c r="K66">
        <v>150</v>
      </c>
      <c r="L66">
        <v>150</v>
      </c>
      <c r="M66">
        <v>0</v>
      </c>
    </row>
    <row r="67" spans="1:13">
      <c r="A67">
        <v>66</v>
      </c>
      <c r="B67" t="s">
        <v>168</v>
      </c>
      <c r="C67" t="s">
        <v>167</v>
      </c>
      <c r="D67">
        <v>1</v>
      </c>
      <c r="E67" t="s">
        <v>0</v>
      </c>
      <c r="F67" t="s">
        <v>48</v>
      </c>
      <c r="G67">
        <v>150</v>
      </c>
      <c r="I67">
        <v>1</v>
      </c>
      <c r="J67">
        <v>150</v>
      </c>
      <c r="K67">
        <v>150</v>
      </c>
      <c r="L67">
        <v>150</v>
      </c>
      <c r="M67">
        <v>0</v>
      </c>
    </row>
    <row r="68" spans="1:13">
      <c r="A68">
        <v>67</v>
      </c>
      <c r="B68" t="s">
        <v>168</v>
      </c>
      <c r="C68" t="s">
        <v>167</v>
      </c>
      <c r="D68">
        <v>2</v>
      </c>
      <c r="E68" t="s">
        <v>0</v>
      </c>
      <c r="F68" t="s">
        <v>49</v>
      </c>
      <c r="G68">
        <v>150</v>
      </c>
      <c r="I68">
        <v>1</v>
      </c>
      <c r="J68">
        <v>150</v>
      </c>
      <c r="K68">
        <v>150</v>
      </c>
      <c r="L68">
        <v>150</v>
      </c>
      <c r="M68">
        <v>0</v>
      </c>
    </row>
    <row r="69" spans="1:13">
      <c r="A69">
        <v>68</v>
      </c>
      <c r="B69" t="s">
        <v>172</v>
      </c>
      <c r="C69" t="s">
        <v>171</v>
      </c>
      <c r="D69">
        <v>1</v>
      </c>
      <c r="E69" t="s">
        <v>0</v>
      </c>
      <c r="F69" t="s">
        <v>48</v>
      </c>
      <c r="G69">
        <v>80</v>
      </c>
      <c r="I69">
        <v>2</v>
      </c>
      <c r="J69">
        <v>160</v>
      </c>
      <c r="K69">
        <v>80</v>
      </c>
      <c r="L69">
        <v>160</v>
      </c>
      <c r="M69">
        <v>0</v>
      </c>
    </row>
    <row r="70" spans="1:13">
      <c r="A70">
        <v>69</v>
      </c>
      <c r="B70" t="s">
        <v>172</v>
      </c>
      <c r="C70" t="s">
        <v>171</v>
      </c>
      <c r="D70">
        <v>2</v>
      </c>
      <c r="E70" t="s">
        <v>0</v>
      </c>
      <c r="F70" t="s">
        <v>49</v>
      </c>
      <c r="G70">
        <v>150</v>
      </c>
      <c r="I70">
        <v>2</v>
      </c>
      <c r="J70">
        <v>300</v>
      </c>
      <c r="K70">
        <v>150</v>
      </c>
      <c r="L70">
        <v>300</v>
      </c>
      <c r="M70">
        <v>0</v>
      </c>
    </row>
    <row r="71" spans="1:13">
      <c r="A71">
        <v>70</v>
      </c>
      <c r="B71" t="s">
        <v>108</v>
      </c>
      <c r="C71" t="s">
        <v>109</v>
      </c>
      <c r="D71">
        <v>1</v>
      </c>
      <c r="E71" t="s">
        <v>0</v>
      </c>
      <c r="F71" t="s">
        <v>48</v>
      </c>
      <c r="G71">
        <v>80</v>
      </c>
      <c r="I71">
        <v>1</v>
      </c>
      <c r="J71">
        <v>80</v>
      </c>
      <c r="K71">
        <v>80</v>
      </c>
      <c r="L71">
        <v>80</v>
      </c>
      <c r="M71">
        <v>0</v>
      </c>
    </row>
    <row r="72" spans="1:13">
      <c r="A72">
        <v>71</v>
      </c>
      <c r="B72" t="s">
        <v>108</v>
      </c>
      <c r="C72" t="s">
        <v>109</v>
      </c>
      <c r="D72">
        <v>2</v>
      </c>
      <c r="E72" t="s">
        <v>0</v>
      </c>
      <c r="F72" t="s">
        <v>49</v>
      </c>
      <c r="G72">
        <v>150</v>
      </c>
      <c r="I72">
        <v>1</v>
      </c>
      <c r="J72">
        <v>150</v>
      </c>
      <c r="K72">
        <v>150</v>
      </c>
      <c r="L72">
        <v>150</v>
      </c>
      <c r="M72">
        <v>0</v>
      </c>
    </row>
    <row r="73" spans="1:13">
      <c r="A73">
        <v>72</v>
      </c>
      <c r="B73" t="s">
        <v>178</v>
      </c>
      <c r="C73" t="s">
        <v>177</v>
      </c>
      <c r="D73">
        <v>1</v>
      </c>
      <c r="E73" t="s">
        <v>0</v>
      </c>
      <c r="F73" t="s">
        <v>48</v>
      </c>
      <c r="G73">
        <v>80</v>
      </c>
      <c r="I73">
        <v>1</v>
      </c>
      <c r="J73">
        <v>80</v>
      </c>
      <c r="K73">
        <v>80</v>
      </c>
      <c r="L73">
        <v>80</v>
      </c>
      <c r="M73">
        <v>0</v>
      </c>
    </row>
    <row r="74" spans="1:13">
      <c r="A74">
        <v>73</v>
      </c>
      <c r="B74" t="s">
        <v>178</v>
      </c>
      <c r="C74" t="s">
        <v>177</v>
      </c>
      <c r="D74">
        <v>2</v>
      </c>
      <c r="E74" t="s">
        <v>0</v>
      </c>
      <c r="F74" t="s">
        <v>49</v>
      </c>
      <c r="G74">
        <v>150</v>
      </c>
      <c r="I74">
        <v>1</v>
      </c>
      <c r="J74">
        <v>150</v>
      </c>
      <c r="K74">
        <v>150</v>
      </c>
      <c r="L74">
        <v>150</v>
      </c>
      <c r="M74">
        <v>0</v>
      </c>
    </row>
    <row r="75" spans="1:13">
      <c r="A75">
        <v>74</v>
      </c>
      <c r="B75" t="s">
        <v>182</v>
      </c>
      <c r="C75" t="s">
        <v>181</v>
      </c>
      <c r="D75">
        <v>1</v>
      </c>
      <c r="E75" t="s">
        <v>0</v>
      </c>
      <c r="F75" t="s">
        <v>48</v>
      </c>
      <c r="G75">
        <v>80</v>
      </c>
      <c r="I75">
        <v>2</v>
      </c>
      <c r="J75">
        <v>160</v>
      </c>
      <c r="K75">
        <v>80</v>
      </c>
      <c r="L75">
        <v>160</v>
      </c>
      <c r="M75">
        <v>0</v>
      </c>
    </row>
    <row r="76" spans="1:13">
      <c r="A76">
        <v>75</v>
      </c>
      <c r="B76" t="s">
        <v>182</v>
      </c>
      <c r="C76" t="s">
        <v>181</v>
      </c>
      <c r="D76">
        <v>2</v>
      </c>
      <c r="E76" t="s">
        <v>0</v>
      </c>
      <c r="F76" t="s">
        <v>49</v>
      </c>
      <c r="G76">
        <v>150</v>
      </c>
      <c r="I76">
        <v>2</v>
      </c>
      <c r="J76">
        <v>300</v>
      </c>
      <c r="K76">
        <v>150</v>
      </c>
      <c r="L76">
        <v>300</v>
      </c>
      <c r="M76">
        <v>0</v>
      </c>
    </row>
    <row r="77" spans="1:13">
      <c r="A77">
        <v>76</v>
      </c>
      <c r="B77" t="s">
        <v>187</v>
      </c>
      <c r="C77" t="s">
        <v>185</v>
      </c>
      <c r="D77">
        <v>1</v>
      </c>
      <c r="E77" t="s">
        <v>0</v>
      </c>
      <c r="F77" t="s">
        <v>48</v>
      </c>
      <c r="G77">
        <v>80</v>
      </c>
      <c r="I77">
        <v>1</v>
      </c>
      <c r="J77">
        <v>80</v>
      </c>
      <c r="K77">
        <v>80</v>
      </c>
      <c r="L77">
        <v>80</v>
      </c>
      <c r="M77">
        <v>0</v>
      </c>
    </row>
    <row r="78" spans="1:13">
      <c r="A78">
        <v>77</v>
      </c>
      <c r="B78" t="s">
        <v>187</v>
      </c>
      <c r="C78" t="s">
        <v>185</v>
      </c>
      <c r="D78">
        <v>2</v>
      </c>
      <c r="E78" t="s">
        <v>0</v>
      </c>
      <c r="F78" t="s">
        <v>49</v>
      </c>
      <c r="G78">
        <v>150</v>
      </c>
      <c r="I78">
        <v>1</v>
      </c>
      <c r="J78">
        <v>150</v>
      </c>
      <c r="K78">
        <v>150</v>
      </c>
      <c r="L78">
        <v>150</v>
      </c>
      <c r="M78">
        <v>0</v>
      </c>
    </row>
    <row r="79" spans="1:13">
      <c r="A79">
        <v>78</v>
      </c>
      <c r="B79" t="s">
        <v>191</v>
      </c>
      <c r="C79" t="s">
        <v>190</v>
      </c>
      <c r="D79">
        <v>1</v>
      </c>
      <c r="E79" t="s">
        <v>0</v>
      </c>
      <c r="F79" t="s">
        <v>48</v>
      </c>
      <c r="G79">
        <v>80</v>
      </c>
      <c r="I79">
        <v>1</v>
      </c>
      <c r="J79">
        <v>80</v>
      </c>
      <c r="K79">
        <v>80</v>
      </c>
      <c r="L79">
        <v>80</v>
      </c>
      <c r="M79">
        <v>0</v>
      </c>
    </row>
    <row r="80" spans="1:13">
      <c r="A80">
        <v>79</v>
      </c>
      <c r="B80" t="s">
        <v>191</v>
      </c>
      <c r="C80" t="s">
        <v>190</v>
      </c>
      <c r="D80">
        <v>2</v>
      </c>
      <c r="E80" t="s">
        <v>0</v>
      </c>
      <c r="F80" t="s">
        <v>49</v>
      </c>
      <c r="G80">
        <v>150</v>
      </c>
      <c r="I80">
        <v>1</v>
      </c>
      <c r="J80">
        <v>150</v>
      </c>
      <c r="K80">
        <v>150</v>
      </c>
      <c r="L80">
        <v>150</v>
      </c>
      <c r="M80">
        <v>0</v>
      </c>
    </row>
    <row r="81" spans="1:13">
      <c r="A81">
        <v>80</v>
      </c>
      <c r="B81" t="s">
        <v>195</v>
      </c>
      <c r="C81" t="s">
        <v>194</v>
      </c>
      <c r="D81">
        <v>1</v>
      </c>
      <c r="E81" t="s">
        <v>0</v>
      </c>
      <c r="F81" t="s">
        <v>48</v>
      </c>
      <c r="G81">
        <v>80</v>
      </c>
      <c r="I81">
        <v>1</v>
      </c>
      <c r="J81">
        <v>80</v>
      </c>
      <c r="K81">
        <v>80</v>
      </c>
      <c r="L81">
        <v>80</v>
      </c>
      <c r="M81">
        <v>0</v>
      </c>
    </row>
    <row r="82" spans="1:13">
      <c r="A82">
        <v>81</v>
      </c>
      <c r="B82" t="s">
        <v>195</v>
      </c>
      <c r="C82" t="s">
        <v>194</v>
      </c>
      <c r="D82">
        <v>2</v>
      </c>
      <c r="E82" t="s">
        <v>0</v>
      </c>
      <c r="F82" t="s">
        <v>49</v>
      </c>
      <c r="G82">
        <v>150</v>
      </c>
      <c r="I82">
        <v>1</v>
      </c>
      <c r="J82">
        <v>150</v>
      </c>
      <c r="K82">
        <v>150</v>
      </c>
      <c r="L82">
        <v>150</v>
      </c>
      <c r="M82">
        <v>0</v>
      </c>
    </row>
    <row r="83" spans="1:13">
      <c r="A83">
        <v>82</v>
      </c>
      <c r="B83" t="s">
        <v>200</v>
      </c>
      <c r="C83" t="s">
        <v>203</v>
      </c>
      <c r="D83">
        <v>1</v>
      </c>
      <c r="E83" t="s">
        <v>201</v>
      </c>
      <c r="F83" t="s">
        <v>204</v>
      </c>
      <c r="G83">
        <v>150</v>
      </c>
      <c r="I83">
        <v>1</v>
      </c>
      <c r="J83">
        <v>150</v>
      </c>
      <c r="K83">
        <v>150</v>
      </c>
      <c r="L83">
        <v>150</v>
      </c>
      <c r="M83">
        <v>0</v>
      </c>
    </row>
    <row r="84" spans="1:13">
      <c r="A84">
        <v>83</v>
      </c>
      <c r="B84" t="s">
        <v>200</v>
      </c>
      <c r="C84" t="s">
        <v>203</v>
      </c>
      <c r="D84">
        <v>2</v>
      </c>
      <c r="E84" t="s">
        <v>201</v>
      </c>
      <c r="F84" t="s">
        <v>205</v>
      </c>
      <c r="G84">
        <v>24.51</v>
      </c>
      <c r="I84">
        <v>1</v>
      </c>
      <c r="J84">
        <v>24.51</v>
      </c>
      <c r="K84">
        <v>24.51</v>
      </c>
      <c r="L84">
        <v>24.51</v>
      </c>
      <c r="M84">
        <v>0</v>
      </c>
    </row>
    <row r="85" spans="1:13">
      <c r="A85">
        <v>84</v>
      </c>
      <c r="B85" t="s">
        <v>200</v>
      </c>
      <c r="C85" t="s">
        <v>203</v>
      </c>
      <c r="D85">
        <v>3</v>
      </c>
      <c r="E85" t="s">
        <v>201</v>
      </c>
      <c r="F85" t="s">
        <v>206</v>
      </c>
      <c r="G85">
        <v>15.72</v>
      </c>
      <c r="I85">
        <v>1</v>
      </c>
      <c r="J85">
        <v>15.72</v>
      </c>
      <c r="K85">
        <v>15.72</v>
      </c>
      <c r="L85">
        <v>15.72</v>
      </c>
      <c r="M85">
        <v>0</v>
      </c>
    </row>
    <row r="86" spans="1:13">
      <c r="A86">
        <v>85</v>
      </c>
      <c r="B86" t="s">
        <v>200</v>
      </c>
      <c r="C86" t="s">
        <v>203</v>
      </c>
      <c r="D86">
        <v>4</v>
      </c>
      <c r="E86" t="s">
        <v>201</v>
      </c>
      <c r="F86" t="s">
        <v>207</v>
      </c>
      <c r="G86">
        <v>8.58</v>
      </c>
      <c r="I86">
        <v>1</v>
      </c>
      <c r="J86">
        <v>8.58</v>
      </c>
      <c r="K86">
        <v>8.58</v>
      </c>
      <c r="L86">
        <v>8.58</v>
      </c>
      <c r="M86">
        <v>0</v>
      </c>
    </row>
    <row r="87" spans="1:13">
      <c r="A87">
        <v>86</v>
      </c>
      <c r="B87" t="s">
        <v>200</v>
      </c>
      <c r="C87" t="s">
        <v>203</v>
      </c>
      <c r="D87">
        <v>5</v>
      </c>
      <c r="E87" t="s">
        <v>201</v>
      </c>
      <c r="F87" t="s">
        <v>208</v>
      </c>
      <c r="G87">
        <v>85.77</v>
      </c>
      <c r="I87">
        <v>1</v>
      </c>
      <c r="J87">
        <v>85.77</v>
      </c>
      <c r="K87">
        <v>85.77</v>
      </c>
      <c r="L87">
        <v>85.77</v>
      </c>
      <c r="M87">
        <v>0</v>
      </c>
    </row>
    <row r="88" spans="1:13">
      <c r="A88">
        <v>87</v>
      </c>
      <c r="B88" t="s">
        <v>200</v>
      </c>
      <c r="C88" t="s">
        <v>203</v>
      </c>
      <c r="D88">
        <v>6</v>
      </c>
      <c r="E88" t="s">
        <v>201</v>
      </c>
      <c r="F88" t="s">
        <v>209</v>
      </c>
      <c r="G88">
        <v>125</v>
      </c>
      <c r="I88">
        <v>1</v>
      </c>
      <c r="J88">
        <v>125</v>
      </c>
      <c r="K88">
        <v>125</v>
      </c>
      <c r="L88">
        <v>125</v>
      </c>
      <c r="M88">
        <v>0</v>
      </c>
    </row>
    <row r="89" spans="1:13">
      <c r="A89">
        <v>88</v>
      </c>
      <c r="B89" t="s">
        <v>200</v>
      </c>
      <c r="C89" t="s">
        <v>203</v>
      </c>
      <c r="D89">
        <v>7</v>
      </c>
      <c r="E89" t="s">
        <v>201</v>
      </c>
      <c r="F89" t="s">
        <v>210</v>
      </c>
      <c r="G89">
        <v>150</v>
      </c>
      <c r="I89">
        <v>1</v>
      </c>
      <c r="J89">
        <v>150</v>
      </c>
      <c r="K89">
        <v>150</v>
      </c>
      <c r="L89">
        <v>150</v>
      </c>
      <c r="M89">
        <v>0</v>
      </c>
    </row>
    <row r="90" spans="1:13">
      <c r="A90">
        <v>89</v>
      </c>
      <c r="B90" t="s">
        <v>200</v>
      </c>
      <c r="C90" t="s">
        <v>203</v>
      </c>
      <c r="D90">
        <v>8</v>
      </c>
      <c r="E90" t="s">
        <v>201</v>
      </c>
      <c r="F90" t="s">
        <v>211</v>
      </c>
      <c r="G90">
        <v>1978.35</v>
      </c>
      <c r="I90">
        <v>1</v>
      </c>
      <c r="J90">
        <v>1978.35</v>
      </c>
      <c r="K90">
        <v>1978.35</v>
      </c>
      <c r="L90">
        <v>1978.35</v>
      </c>
      <c r="M90">
        <v>0</v>
      </c>
    </row>
    <row r="91" spans="1:13">
      <c r="A91">
        <v>90</v>
      </c>
      <c r="B91" t="s">
        <v>200</v>
      </c>
      <c r="C91" t="s">
        <v>203</v>
      </c>
      <c r="D91">
        <v>9</v>
      </c>
      <c r="E91" t="s">
        <v>201</v>
      </c>
      <c r="F91" t="s">
        <v>212</v>
      </c>
      <c r="G91">
        <v>85.77</v>
      </c>
      <c r="I91">
        <v>1</v>
      </c>
      <c r="J91">
        <v>85.77</v>
      </c>
      <c r="K91">
        <v>85.77</v>
      </c>
      <c r="L91">
        <v>85.77</v>
      </c>
      <c r="M91">
        <v>0</v>
      </c>
    </row>
    <row r="92" spans="1:13">
      <c r="A92">
        <v>91</v>
      </c>
      <c r="B92" t="s">
        <v>200</v>
      </c>
      <c r="C92" t="s">
        <v>203</v>
      </c>
      <c r="D92">
        <v>10</v>
      </c>
      <c r="E92" t="s">
        <v>201</v>
      </c>
      <c r="F92" t="s">
        <v>213</v>
      </c>
      <c r="G92">
        <v>68.069999999999993</v>
      </c>
      <c r="I92">
        <v>1</v>
      </c>
      <c r="J92">
        <v>68.069999999999993</v>
      </c>
      <c r="K92">
        <v>68.069999999999993</v>
      </c>
      <c r="L92">
        <v>68.069999999999993</v>
      </c>
      <c r="M92">
        <v>0</v>
      </c>
    </row>
    <row r="93" spans="1:13">
      <c r="A93">
        <v>92</v>
      </c>
      <c r="B93" t="s">
        <v>219</v>
      </c>
      <c r="C93" t="s">
        <v>221</v>
      </c>
      <c r="D93">
        <v>1</v>
      </c>
      <c r="E93" t="s">
        <v>201</v>
      </c>
      <c r="F93" t="s">
        <v>204</v>
      </c>
      <c r="G93">
        <v>150</v>
      </c>
      <c r="I93">
        <v>1</v>
      </c>
      <c r="J93">
        <v>150</v>
      </c>
      <c r="K93">
        <v>150</v>
      </c>
      <c r="L93">
        <v>150</v>
      </c>
      <c r="M93">
        <v>0</v>
      </c>
    </row>
    <row r="94" spans="1:13">
      <c r="A94">
        <v>93</v>
      </c>
      <c r="B94" t="s">
        <v>219</v>
      </c>
      <c r="C94" t="s">
        <v>221</v>
      </c>
      <c r="D94">
        <v>2</v>
      </c>
      <c r="E94" t="s">
        <v>201</v>
      </c>
      <c r="F94" t="s">
        <v>207</v>
      </c>
      <c r="G94">
        <v>8.58</v>
      </c>
      <c r="I94">
        <v>1</v>
      </c>
      <c r="J94">
        <v>8.58</v>
      </c>
      <c r="K94">
        <v>8.58</v>
      </c>
      <c r="L94">
        <v>8.58</v>
      </c>
      <c r="M94">
        <v>0</v>
      </c>
    </row>
    <row r="95" spans="1:13">
      <c r="A95">
        <v>94</v>
      </c>
      <c r="B95" t="s">
        <v>219</v>
      </c>
      <c r="C95" t="s">
        <v>221</v>
      </c>
      <c r="D95">
        <v>3</v>
      </c>
      <c r="E95" t="s">
        <v>201</v>
      </c>
      <c r="F95" t="s">
        <v>222</v>
      </c>
      <c r="G95">
        <v>125</v>
      </c>
      <c r="I95">
        <v>1</v>
      </c>
      <c r="J95">
        <v>125</v>
      </c>
      <c r="K95">
        <v>125</v>
      </c>
      <c r="L95">
        <v>125</v>
      </c>
      <c r="M95">
        <v>0</v>
      </c>
    </row>
    <row r="96" spans="1:13">
      <c r="A96">
        <v>95</v>
      </c>
      <c r="B96" t="s">
        <v>219</v>
      </c>
      <c r="C96" t="s">
        <v>221</v>
      </c>
      <c r="D96">
        <v>4</v>
      </c>
      <c r="E96" t="s">
        <v>201</v>
      </c>
      <c r="F96" t="s">
        <v>210</v>
      </c>
      <c r="G96">
        <v>150</v>
      </c>
      <c r="I96">
        <v>1</v>
      </c>
      <c r="J96">
        <v>150</v>
      </c>
      <c r="K96">
        <v>150</v>
      </c>
      <c r="L96">
        <v>150</v>
      </c>
      <c r="M96">
        <v>0</v>
      </c>
    </row>
    <row r="97" spans="1:13">
      <c r="A97">
        <v>96</v>
      </c>
      <c r="B97" t="s">
        <v>219</v>
      </c>
      <c r="C97" t="s">
        <v>221</v>
      </c>
      <c r="D97">
        <v>5</v>
      </c>
      <c r="E97" t="s">
        <v>201</v>
      </c>
      <c r="F97" t="s">
        <v>223</v>
      </c>
      <c r="G97">
        <v>989.18</v>
      </c>
      <c r="I97">
        <v>1</v>
      </c>
      <c r="J97">
        <v>989.18</v>
      </c>
      <c r="K97">
        <v>989.18</v>
      </c>
      <c r="L97">
        <v>989.18</v>
      </c>
      <c r="M97">
        <v>0</v>
      </c>
    </row>
    <row r="98" spans="1:13">
      <c r="A98">
        <v>97</v>
      </c>
      <c r="B98" t="s">
        <v>227</v>
      </c>
      <c r="C98" t="s">
        <v>226</v>
      </c>
      <c r="D98">
        <v>1</v>
      </c>
      <c r="E98" t="s">
        <v>201</v>
      </c>
      <c r="F98" t="s">
        <v>48</v>
      </c>
      <c r="G98">
        <v>150</v>
      </c>
      <c r="I98">
        <v>1</v>
      </c>
      <c r="J98">
        <v>150</v>
      </c>
      <c r="K98">
        <v>150</v>
      </c>
      <c r="L98">
        <v>150</v>
      </c>
      <c r="M98">
        <v>0</v>
      </c>
    </row>
    <row r="99" spans="1:13">
      <c r="A99">
        <v>98</v>
      </c>
      <c r="B99" t="s">
        <v>227</v>
      </c>
      <c r="C99" t="s">
        <v>226</v>
      </c>
      <c r="D99">
        <v>2</v>
      </c>
      <c r="E99" t="s">
        <v>201</v>
      </c>
      <c r="F99" t="s">
        <v>229</v>
      </c>
      <c r="G99">
        <v>20.010000000000002</v>
      </c>
      <c r="I99">
        <v>1</v>
      </c>
      <c r="J99">
        <v>20.010000000000002</v>
      </c>
      <c r="K99">
        <v>20.010000000000002</v>
      </c>
      <c r="L99">
        <v>20.010000000000002</v>
      </c>
      <c r="M99">
        <v>0</v>
      </c>
    </row>
    <row r="100" spans="1:13">
      <c r="A100">
        <v>99</v>
      </c>
      <c r="B100" t="s">
        <v>227</v>
      </c>
      <c r="C100" t="s">
        <v>226</v>
      </c>
      <c r="D100">
        <v>3</v>
      </c>
      <c r="E100" t="s">
        <v>201</v>
      </c>
      <c r="F100" t="s">
        <v>209</v>
      </c>
      <c r="G100">
        <v>125</v>
      </c>
      <c r="I100">
        <v>1</v>
      </c>
      <c r="J100">
        <v>125</v>
      </c>
      <c r="K100">
        <v>125</v>
      </c>
      <c r="L100">
        <v>125</v>
      </c>
      <c r="M100">
        <v>0</v>
      </c>
    </row>
    <row r="101" spans="1:13">
      <c r="A101">
        <v>100</v>
      </c>
      <c r="B101" t="s">
        <v>227</v>
      </c>
      <c r="C101" t="s">
        <v>226</v>
      </c>
      <c r="D101">
        <v>4</v>
      </c>
      <c r="E101" t="s">
        <v>201</v>
      </c>
      <c r="F101" t="s">
        <v>230</v>
      </c>
      <c r="G101">
        <v>150</v>
      </c>
      <c r="I101">
        <v>1</v>
      </c>
      <c r="J101">
        <v>150</v>
      </c>
      <c r="K101">
        <v>150</v>
      </c>
      <c r="L101">
        <v>150</v>
      </c>
      <c r="M101">
        <v>0</v>
      </c>
    </row>
    <row r="102" spans="1:13">
      <c r="A102">
        <v>101</v>
      </c>
      <c r="B102" t="s">
        <v>227</v>
      </c>
      <c r="C102" t="s">
        <v>226</v>
      </c>
      <c r="D102">
        <v>5</v>
      </c>
      <c r="E102" t="s">
        <v>201</v>
      </c>
      <c r="F102" t="s">
        <v>231</v>
      </c>
      <c r="G102">
        <v>989.18</v>
      </c>
      <c r="I102">
        <v>1</v>
      </c>
      <c r="J102">
        <v>989.18</v>
      </c>
      <c r="K102">
        <v>989.18</v>
      </c>
      <c r="L102">
        <v>989.18</v>
      </c>
      <c r="M102">
        <v>0</v>
      </c>
    </row>
    <row r="103" spans="1:13">
      <c r="A103">
        <v>102</v>
      </c>
      <c r="B103" t="s">
        <v>227</v>
      </c>
      <c r="C103" t="s">
        <v>226</v>
      </c>
      <c r="D103">
        <v>6</v>
      </c>
      <c r="E103" t="s">
        <v>201</v>
      </c>
      <c r="F103" t="s">
        <v>232</v>
      </c>
      <c r="G103">
        <v>150</v>
      </c>
      <c r="I103">
        <v>1</v>
      </c>
      <c r="J103">
        <v>150</v>
      </c>
      <c r="K103">
        <v>150</v>
      </c>
      <c r="L103">
        <v>150</v>
      </c>
      <c r="M103">
        <v>0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09062-A916-488A-9B94-FDD4E9ECAC6C}">
  <sheetPr codeName="Sheet106">
    <tabColor rgb="FF92D050"/>
  </sheetPr>
  <dimension ref="A5:R32"/>
  <sheetViews>
    <sheetView topLeftCell="G1" zoomScale="85" zoomScaleNormal="85" workbookViewId="0">
      <selection activeCell="Q1" sqref="Q1:Q1048576"/>
    </sheetView>
  </sheetViews>
  <sheetFormatPr defaultColWidth="9.125" defaultRowHeight="13.15"/>
  <cols>
    <col min="1" max="1" width="9.125" style="11"/>
    <col min="2" max="2" width="5.875" style="11" bestFit="1" customWidth="1"/>
    <col min="3" max="3" width="13.6875" style="11" bestFit="1" customWidth="1"/>
    <col min="4" max="4" width="101.125" style="11" bestFit="1" customWidth="1"/>
    <col min="5" max="5" width="8.375" style="11" bestFit="1" customWidth="1"/>
    <col min="6" max="6" width="10.6875" style="11" bestFit="1" customWidth="1"/>
    <col min="7" max="7" width="5.125" style="11" bestFit="1" customWidth="1"/>
    <col min="8" max="8" width="17.375" style="11" bestFit="1" customWidth="1"/>
    <col min="9" max="9" width="25.6875" style="11" bestFit="1" customWidth="1"/>
    <col min="10" max="10" width="9.6875" style="11" bestFit="1" customWidth="1"/>
    <col min="11" max="11" width="10.875" style="11" bestFit="1" customWidth="1"/>
    <col min="12" max="12" width="12.125" style="11" bestFit="1" customWidth="1"/>
    <col min="13" max="13" width="9.125" style="11"/>
    <col min="14" max="15" width="10.6875" style="11" customWidth="1"/>
    <col min="16" max="17" width="80.6875" style="11" customWidth="1"/>
    <col min="18" max="18" width="110.6875" style="11" customWidth="1"/>
    <col min="19" max="16384" width="9.125" style="11"/>
  </cols>
  <sheetData>
    <row r="5" spans="2:18" ht="13.5" thickBot="1"/>
    <row r="6" spans="2:18" ht="13.9" thickTop="1" thickBot="1">
      <c r="B6" s="11" t="s">
        <v>23</v>
      </c>
      <c r="H6" s="12" t="s">
        <v>24</v>
      </c>
      <c r="I6" s="13">
        <f ca="1">TODAY()</f>
        <v>45944</v>
      </c>
    </row>
    <row r="7" spans="2:18" ht="13.9" thickTop="1" thickBot="1">
      <c r="B7" s="77" t="s">
        <v>25</v>
      </c>
      <c r="C7" s="77"/>
      <c r="D7" s="77"/>
      <c r="H7" s="12" t="s">
        <v>26</v>
      </c>
      <c r="I7" s="14" t="s">
        <v>27</v>
      </c>
    </row>
    <row r="8" spans="2:18" ht="17.649999999999999" thickTop="1" thickBot="1">
      <c r="B8" s="78" t="s">
        <v>28</v>
      </c>
      <c r="C8" s="78"/>
      <c r="D8" s="78"/>
      <c r="H8" s="12" t="s">
        <v>29</v>
      </c>
      <c r="I8" s="38" t="s">
        <v>55</v>
      </c>
    </row>
    <row r="9" spans="2:18" ht="13.9" thickTop="1" thickBot="1">
      <c r="B9" s="78" t="s">
        <v>30</v>
      </c>
      <c r="C9" s="78"/>
      <c r="D9" s="78"/>
      <c r="H9" s="12" t="s">
        <v>31</v>
      </c>
      <c r="I9" s="16" t="s">
        <v>57</v>
      </c>
    </row>
    <row r="10" spans="2:18" ht="13.9" thickTop="1" thickBot="1">
      <c r="H10" s="12" t="s">
        <v>32</v>
      </c>
      <c r="I10" s="16" t="s">
        <v>56</v>
      </c>
    </row>
    <row r="11" spans="2:18" ht="13.9" thickTop="1" thickBot="1"/>
    <row r="12" spans="2:18" ht="17.649999999999999" thickTop="1" thickBot="1">
      <c r="B12" s="17" t="s">
        <v>1</v>
      </c>
      <c r="C12" s="17" t="s">
        <v>33</v>
      </c>
      <c r="D12" s="18" t="s">
        <v>34</v>
      </c>
      <c r="E12" s="18" t="s">
        <v>35</v>
      </c>
      <c r="F12" s="43" t="s">
        <v>243</v>
      </c>
      <c r="G12" s="18" t="s">
        <v>36</v>
      </c>
      <c r="H12" s="18" t="s">
        <v>37</v>
      </c>
      <c r="I12" s="18" t="s">
        <v>38</v>
      </c>
      <c r="J12" s="47" t="s">
        <v>264</v>
      </c>
      <c r="K12" s="47" t="s">
        <v>265</v>
      </c>
      <c r="L12" s="47" t="s">
        <v>266</v>
      </c>
      <c r="N12" s="52" t="s">
        <v>1</v>
      </c>
      <c r="O12" s="53" t="s">
        <v>273</v>
      </c>
      <c r="P12" s="53" t="s">
        <v>310</v>
      </c>
      <c r="Q12" s="53" t="s">
        <v>274</v>
      </c>
      <c r="R12" s="53" t="s">
        <v>311</v>
      </c>
    </row>
    <row r="13" spans="2:18" ht="17.649999999999999" thickTop="1" thickBot="1">
      <c r="B13" s="19">
        <v>1</v>
      </c>
      <c r="C13" s="19" t="s">
        <v>0</v>
      </c>
      <c r="D13" s="20" t="s">
        <v>48</v>
      </c>
      <c r="E13" s="21">
        <v>150</v>
      </c>
      <c r="F13" s="44"/>
      <c r="G13" s="22">
        <v>1</v>
      </c>
      <c r="H13" s="23">
        <f>E13*G13</f>
        <v>150</v>
      </c>
      <c r="I13" s="20" t="s">
        <v>51</v>
      </c>
      <c r="J13" s="31">
        <f t="shared" ref="J13:J20" si="0">ROUND($E13,2)</f>
        <v>150</v>
      </c>
      <c r="K13" s="31">
        <f t="shared" ref="K13:K20" si="1">J13*$G13</f>
        <v>150</v>
      </c>
      <c r="L13" s="31">
        <f t="shared" ref="L13:L20" si="2">K13-$H13</f>
        <v>0</v>
      </c>
      <c r="N13" s="51">
        <v>1</v>
      </c>
      <c r="O13" s="54" t="s">
        <v>276</v>
      </c>
      <c r="P13" s="54"/>
      <c r="Q13" s="55" t="s">
        <v>402</v>
      </c>
      <c r="R13" s="54" t="s">
        <v>403</v>
      </c>
    </row>
    <row r="14" spans="2:18" ht="17.649999999999999" thickTop="1" thickBot="1">
      <c r="B14" s="19">
        <v>2</v>
      </c>
      <c r="C14" s="19" t="s">
        <v>0</v>
      </c>
      <c r="D14" s="20" t="s">
        <v>49</v>
      </c>
      <c r="E14" s="21">
        <v>150</v>
      </c>
      <c r="F14" s="44"/>
      <c r="G14" s="22">
        <v>1</v>
      </c>
      <c r="H14" s="23">
        <f>E14*G14</f>
        <v>150</v>
      </c>
      <c r="I14" s="20" t="s">
        <v>51</v>
      </c>
      <c r="J14" s="31">
        <f t="shared" si="0"/>
        <v>150</v>
      </c>
      <c r="K14" s="31">
        <f t="shared" si="1"/>
        <v>150</v>
      </c>
      <c r="L14" s="31">
        <f t="shared" si="2"/>
        <v>0</v>
      </c>
      <c r="N14" s="51">
        <v>2</v>
      </c>
      <c r="O14" s="54" t="s">
        <v>276</v>
      </c>
      <c r="P14" s="54" t="s">
        <v>327</v>
      </c>
      <c r="Q14" s="55" t="s">
        <v>404</v>
      </c>
      <c r="R14" s="54" t="s">
        <v>405</v>
      </c>
    </row>
    <row r="15" spans="2:18" ht="17.649999999999999" thickTop="1" thickBot="1">
      <c r="B15" s="19">
        <v>3</v>
      </c>
      <c r="C15" s="19" t="s">
        <v>0</v>
      </c>
      <c r="D15" s="20" t="s">
        <v>50</v>
      </c>
      <c r="E15" s="21">
        <v>372</v>
      </c>
      <c r="F15" s="44"/>
      <c r="G15" s="22">
        <v>1</v>
      </c>
      <c r="H15" s="23">
        <f t="shared" ref="H15:H25" si="3">E15*G15</f>
        <v>372</v>
      </c>
      <c r="I15" s="20" t="s">
        <v>51</v>
      </c>
      <c r="J15" s="31">
        <f t="shared" si="0"/>
        <v>372</v>
      </c>
      <c r="K15" s="31">
        <f t="shared" si="1"/>
        <v>372</v>
      </c>
      <c r="L15" s="31">
        <f t="shared" si="2"/>
        <v>0</v>
      </c>
      <c r="N15" s="51">
        <v>3</v>
      </c>
      <c r="O15" s="54" t="s">
        <v>276</v>
      </c>
      <c r="P15" s="54"/>
      <c r="Q15" s="55" t="s">
        <v>406</v>
      </c>
      <c r="R15" s="54" t="s">
        <v>407</v>
      </c>
    </row>
    <row r="16" spans="2:18" ht="17.649999999999999" thickTop="1" thickBot="1">
      <c r="B16" s="19">
        <v>4</v>
      </c>
      <c r="C16" s="19" t="s">
        <v>0</v>
      </c>
      <c r="D16" s="20" t="s">
        <v>52</v>
      </c>
      <c r="E16" s="21">
        <v>479</v>
      </c>
      <c r="F16" s="44"/>
      <c r="G16" s="22">
        <v>2</v>
      </c>
      <c r="H16" s="23">
        <f t="shared" si="3"/>
        <v>958</v>
      </c>
      <c r="I16" s="20" t="s">
        <v>51</v>
      </c>
      <c r="J16" s="31">
        <f t="shared" si="0"/>
        <v>479</v>
      </c>
      <c r="K16" s="31">
        <f t="shared" si="1"/>
        <v>958</v>
      </c>
      <c r="L16" s="31">
        <f t="shared" si="2"/>
        <v>0</v>
      </c>
      <c r="N16" s="51">
        <v>4</v>
      </c>
      <c r="O16" s="54" t="s">
        <v>276</v>
      </c>
      <c r="P16" s="54"/>
      <c r="Q16" s="55" t="s">
        <v>406</v>
      </c>
      <c r="R16" s="54" t="s">
        <v>408</v>
      </c>
    </row>
    <row r="17" spans="1:18" ht="17.649999999999999" thickTop="1" thickBot="1">
      <c r="B17" s="19">
        <v>5</v>
      </c>
      <c r="C17" s="19" t="s">
        <v>0</v>
      </c>
      <c r="D17" s="20" t="s">
        <v>53</v>
      </c>
      <c r="E17" s="21">
        <v>252</v>
      </c>
      <c r="F17" s="44"/>
      <c r="G17" s="22">
        <v>3</v>
      </c>
      <c r="H17" s="23">
        <f t="shared" si="3"/>
        <v>756</v>
      </c>
      <c r="I17" s="20" t="s">
        <v>51</v>
      </c>
      <c r="J17" s="31">
        <f t="shared" si="0"/>
        <v>252</v>
      </c>
      <c r="K17" s="31">
        <f t="shared" si="1"/>
        <v>756</v>
      </c>
      <c r="L17" s="31">
        <f t="shared" si="2"/>
        <v>0</v>
      </c>
      <c r="M17" s="24"/>
      <c r="N17" s="51">
        <v>5</v>
      </c>
      <c r="O17" s="54" t="s">
        <v>276</v>
      </c>
      <c r="P17" s="54" t="s">
        <v>333</v>
      </c>
      <c r="Q17" s="55" t="s">
        <v>409</v>
      </c>
      <c r="R17" s="54" t="s">
        <v>410</v>
      </c>
    </row>
    <row r="18" spans="1:18" ht="17.649999999999999" thickTop="1" thickBot="1">
      <c r="B18" s="19">
        <v>6</v>
      </c>
      <c r="C18" s="19" t="s">
        <v>0</v>
      </c>
      <c r="D18" s="20" t="s">
        <v>59</v>
      </c>
      <c r="E18" s="21">
        <v>252</v>
      </c>
      <c r="F18" s="44"/>
      <c r="G18" s="22">
        <v>3</v>
      </c>
      <c r="H18" s="23">
        <f t="shared" ref="H18" si="4">E18*G18</f>
        <v>756</v>
      </c>
      <c r="I18" s="20" t="s">
        <v>51</v>
      </c>
      <c r="J18" s="31">
        <f t="shared" si="0"/>
        <v>252</v>
      </c>
      <c r="K18" s="31">
        <f t="shared" si="1"/>
        <v>756</v>
      </c>
      <c r="L18" s="31">
        <f t="shared" si="2"/>
        <v>0</v>
      </c>
      <c r="M18" s="24"/>
      <c r="N18" s="51">
        <v>6</v>
      </c>
      <c r="O18" s="54" t="s">
        <v>276</v>
      </c>
      <c r="P18" s="54" t="s">
        <v>333</v>
      </c>
      <c r="Q18" s="55" t="s">
        <v>411</v>
      </c>
      <c r="R18" s="54" t="s">
        <v>412</v>
      </c>
    </row>
    <row r="19" spans="1:18" ht="17.649999999999999" thickTop="1" thickBot="1">
      <c r="B19" s="19">
        <v>7</v>
      </c>
      <c r="C19" s="19" t="s">
        <v>41</v>
      </c>
      <c r="D19" s="20" t="s">
        <v>54</v>
      </c>
      <c r="E19" s="21">
        <f>535/3.6725</f>
        <v>145.67733151803949</v>
      </c>
      <c r="F19" s="45" t="s">
        <v>244</v>
      </c>
      <c r="G19" s="22">
        <v>1</v>
      </c>
      <c r="H19" s="23">
        <f t="shared" si="3"/>
        <v>145.67733151803949</v>
      </c>
      <c r="I19" s="20" t="s">
        <v>51</v>
      </c>
      <c r="J19" s="31">
        <f t="shared" si="0"/>
        <v>145.68</v>
      </c>
      <c r="K19" s="31">
        <f t="shared" si="1"/>
        <v>145.68</v>
      </c>
      <c r="L19" s="31">
        <f t="shared" si="2"/>
        <v>2.6684819605122811E-3</v>
      </c>
      <c r="N19" s="51">
        <v>7</v>
      </c>
      <c r="O19" s="54" t="s">
        <v>276</v>
      </c>
      <c r="P19" s="54" t="s">
        <v>413</v>
      </c>
      <c r="Q19" s="55" t="s">
        <v>414</v>
      </c>
      <c r="R19" s="54" t="s">
        <v>415</v>
      </c>
    </row>
    <row r="20" spans="1:18" s="34" customFormat="1" ht="17.649999999999999" thickTop="1" thickBot="1">
      <c r="B20" s="3">
        <v>8</v>
      </c>
      <c r="C20" s="3" t="s">
        <v>41</v>
      </c>
      <c r="D20" s="28" t="s">
        <v>125</v>
      </c>
      <c r="E20" s="35">
        <f>25/3.6725</f>
        <v>6.8073519400953035</v>
      </c>
      <c r="F20" s="46" t="s">
        <v>245</v>
      </c>
      <c r="G20" s="36">
        <v>3</v>
      </c>
      <c r="H20" s="37">
        <f t="shared" si="3"/>
        <v>20.422055820285912</v>
      </c>
      <c r="I20" s="20" t="s">
        <v>51</v>
      </c>
      <c r="J20" s="48">
        <f t="shared" si="0"/>
        <v>6.81</v>
      </c>
      <c r="K20" s="48">
        <f t="shared" si="1"/>
        <v>20.43</v>
      </c>
      <c r="L20" s="48">
        <f t="shared" si="2"/>
        <v>7.9441797140873405E-3</v>
      </c>
      <c r="N20" s="51">
        <v>8</v>
      </c>
      <c r="O20" s="54" t="s">
        <v>276</v>
      </c>
      <c r="P20" s="54" t="s">
        <v>416</v>
      </c>
      <c r="Q20" s="55" t="s">
        <v>417</v>
      </c>
      <c r="R20" s="54" t="s">
        <v>418</v>
      </c>
    </row>
    <row r="21" spans="1:18" ht="13.9" thickTop="1" thickBot="1">
      <c r="B21" s="19"/>
      <c r="C21" s="19"/>
      <c r="D21" s="20" t="s">
        <v>43</v>
      </c>
      <c r="E21" s="21"/>
      <c r="F21" s="41"/>
      <c r="G21" s="22"/>
      <c r="H21" s="23">
        <f t="shared" si="3"/>
        <v>0</v>
      </c>
      <c r="I21" s="20"/>
      <c r="J21" s="31"/>
      <c r="K21" s="31"/>
      <c r="L21" s="31"/>
    </row>
    <row r="22" spans="1:18" ht="13.9" thickTop="1" thickBot="1">
      <c r="B22" s="19"/>
      <c r="C22" s="19"/>
      <c r="D22" s="20"/>
      <c r="E22" s="21"/>
      <c r="F22" s="41"/>
      <c r="G22" s="22"/>
      <c r="H22" s="23">
        <f t="shared" si="3"/>
        <v>0</v>
      </c>
      <c r="I22" s="20"/>
      <c r="J22" s="31"/>
      <c r="K22" s="31"/>
      <c r="L22" s="31"/>
    </row>
    <row r="23" spans="1:18" ht="13.9" thickTop="1" thickBot="1">
      <c r="B23" s="19"/>
      <c r="C23" s="19"/>
      <c r="D23" s="20"/>
      <c r="E23" s="21"/>
      <c r="F23" s="41"/>
      <c r="G23" s="22"/>
      <c r="H23" s="23">
        <f t="shared" si="3"/>
        <v>0</v>
      </c>
      <c r="I23" s="20"/>
      <c r="J23" s="31"/>
      <c r="K23" s="31"/>
      <c r="L23" s="31"/>
    </row>
    <row r="24" spans="1:18" ht="13.9" thickTop="1" thickBot="1">
      <c r="B24" s="19"/>
      <c r="C24" s="19"/>
      <c r="D24" s="20"/>
      <c r="E24" s="21"/>
      <c r="F24" s="41"/>
      <c r="G24" s="22"/>
      <c r="H24" s="23">
        <f t="shared" si="3"/>
        <v>0</v>
      </c>
      <c r="I24" s="20"/>
      <c r="J24" s="31"/>
      <c r="K24" s="31"/>
      <c r="L24" s="31"/>
    </row>
    <row r="25" spans="1:18" ht="13.9" thickTop="1" thickBot="1">
      <c r="B25" s="19"/>
      <c r="C25" s="19"/>
      <c r="D25" s="20"/>
      <c r="E25" s="21"/>
      <c r="F25" s="41"/>
      <c r="G25" s="22"/>
      <c r="H25" s="23">
        <f t="shared" si="3"/>
        <v>0</v>
      </c>
      <c r="I25" s="20"/>
      <c r="J25" s="31"/>
      <c r="K25" s="31"/>
      <c r="L25" s="31"/>
    </row>
    <row r="26" spans="1:18" s="29" customFormat="1" ht="13.9" thickTop="1" thickBot="1">
      <c r="A26" s="11"/>
      <c r="B26" s="25"/>
      <c r="C26" s="25"/>
      <c r="D26" s="26"/>
      <c r="E26" s="27"/>
      <c r="F26" s="27"/>
      <c r="G26" s="25"/>
      <c r="H26" s="23"/>
      <c r="I26" s="28"/>
      <c r="J26" s="49"/>
      <c r="K26" s="49"/>
      <c r="L26" s="49"/>
    </row>
    <row r="27" spans="1:18" ht="13.9" thickTop="1" thickBot="1">
      <c r="B27" s="79" t="s">
        <v>39</v>
      </c>
      <c r="C27" s="79"/>
      <c r="D27" s="79"/>
      <c r="E27" s="79"/>
      <c r="F27" s="79"/>
      <c r="G27" s="79"/>
      <c r="H27" s="30">
        <f>SUM(H13:H26)</f>
        <v>3308.0993873383254</v>
      </c>
      <c r="J27" s="31"/>
      <c r="K27" s="50">
        <f>SUM(K$13:K26)</f>
        <v>3308.1099999999997</v>
      </c>
      <c r="L27" s="50">
        <f>SUM(L$13:L26)</f>
        <v>1.0612661674599622E-2</v>
      </c>
    </row>
    <row r="28" spans="1:18" ht="13.5" thickTop="1"/>
    <row r="29" spans="1:18">
      <c r="G29" s="11" t="s">
        <v>40</v>
      </c>
      <c r="H29" s="24">
        <f>H27*3.6725</f>
        <v>12148.994999999999</v>
      </c>
    </row>
    <row r="32" spans="1:18">
      <c r="I32" s="31"/>
    </row>
  </sheetData>
  <mergeCells count="4">
    <mergeCell ref="B7:D7"/>
    <mergeCell ref="B8:D8"/>
    <mergeCell ref="B9:D9"/>
    <mergeCell ref="B27:G27"/>
  </mergeCells>
  <phoneticPr fontId="3" type="noConversion"/>
  <hyperlinks>
    <hyperlink ref="I8" location="SEPT!A1" display="BAMF0017659" xr:uid="{52E00380-FE3D-4563-87B0-67D3DF0DD0E3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33BC6-2859-48D1-9AB7-44E57F37624B}">
  <sheetPr codeName="Sheet121">
    <tabColor rgb="FF92D050"/>
  </sheetPr>
  <dimension ref="A5:R29"/>
  <sheetViews>
    <sheetView topLeftCell="O1" zoomScale="70" zoomScaleNormal="70" workbookViewId="0">
      <selection activeCell="O1" sqref="O1:V1048576"/>
    </sheetView>
  </sheetViews>
  <sheetFormatPr defaultColWidth="9.125" defaultRowHeight="13.15"/>
  <cols>
    <col min="1" max="1" width="9.125" style="11"/>
    <col min="2" max="2" width="5.875" style="11" bestFit="1" customWidth="1"/>
    <col min="3" max="3" width="13.6875" style="11" bestFit="1" customWidth="1"/>
    <col min="4" max="4" width="76.625" style="11" bestFit="1" customWidth="1"/>
    <col min="5" max="5" width="8.375" style="11" bestFit="1" customWidth="1"/>
    <col min="6" max="6" width="10.6875" style="11" bestFit="1" customWidth="1"/>
    <col min="7" max="7" width="5.125" style="11" bestFit="1" customWidth="1"/>
    <col min="8" max="8" width="17.375" style="11" bestFit="1" customWidth="1"/>
    <col min="9" max="9" width="25.6875" style="11" bestFit="1" customWidth="1"/>
    <col min="10" max="10" width="9.6875" style="11" bestFit="1" customWidth="1"/>
    <col min="11" max="11" width="10.875" style="11" bestFit="1" customWidth="1"/>
    <col min="12" max="12" width="12.125" style="11" bestFit="1" customWidth="1"/>
    <col min="13" max="13" width="9.125" style="11"/>
    <col min="14" max="15" width="10.6875" style="11" customWidth="1"/>
    <col min="16" max="17" width="80.6875" style="11" customWidth="1"/>
    <col min="18" max="18" width="110.6875" style="11" customWidth="1"/>
    <col min="19" max="16384" width="9.125" style="11"/>
  </cols>
  <sheetData>
    <row r="5" spans="2:18" ht="13.5" thickBot="1"/>
    <row r="6" spans="2:18" ht="13.9" thickTop="1" thickBot="1">
      <c r="B6" s="11" t="s">
        <v>23</v>
      </c>
      <c r="H6" s="12" t="s">
        <v>24</v>
      </c>
      <c r="I6" s="13">
        <f ca="1">TODAY()</f>
        <v>45944</v>
      </c>
    </row>
    <row r="7" spans="2:18" ht="13.9" thickTop="1" thickBot="1">
      <c r="B7" s="77" t="s">
        <v>25</v>
      </c>
      <c r="C7" s="77"/>
      <c r="D7" s="77"/>
      <c r="H7" s="12" t="s">
        <v>26</v>
      </c>
      <c r="I7" s="14" t="s">
        <v>27</v>
      </c>
    </row>
    <row r="8" spans="2:18" ht="17.649999999999999" thickTop="1" thickBot="1">
      <c r="B8" s="78" t="s">
        <v>28</v>
      </c>
      <c r="C8" s="78"/>
      <c r="D8" s="78"/>
      <c r="H8" s="12" t="s">
        <v>29</v>
      </c>
      <c r="I8" s="38" t="s">
        <v>134</v>
      </c>
    </row>
    <row r="9" spans="2:18" ht="13.9" thickTop="1" thickBot="1">
      <c r="B9" s="78" t="s">
        <v>30</v>
      </c>
      <c r="C9" s="78"/>
      <c r="D9" s="78"/>
      <c r="H9" s="12" t="s">
        <v>31</v>
      </c>
      <c r="I9" s="16" t="s">
        <v>132</v>
      </c>
    </row>
    <row r="10" spans="2:18" ht="13.9" thickTop="1" thickBot="1">
      <c r="H10" s="12" t="s">
        <v>32</v>
      </c>
      <c r="I10" s="16" t="s">
        <v>133</v>
      </c>
    </row>
    <row r="11" spans="2:18" ht="13.9" thickTop="1" thickBot="1"/>
    <row r="12" spans="2:18" ht="17.649999999999999" thickTop="1" thickBot="1">
      <c r="B12" s="17" t="s">
        <v>1</v>
      </c>
      <c r="C12" s="17" t="s">
        <v>33</v>
      </c>
      <c r="D12" s="18" t="s">
        <v>34</v>
      </c>
      <c r="E12" s="18" t="s">
        <v>35</v>
      </c>
      <c r="F12" s="43" t="s">
        <v>243</v>
      </c>
      <c r="G12" s="18" t="s">
        <v>36</v>
      </c>
      <c r="H12" s="18" t="s">
        <v>37</v>
      </c>
      <c r="I12" s="18" t="s">
        <v>38</v>
      </c>
      <c r="J12" s="47" t="s">
        <v>264</v>
      </c>
      <c r="K12" s="47" t="s">
        <v>265</v>
      </c>
      <c r="L12" s="47" t="s">
        <v>266</v>
      </c>
      <c r="N12" s="52" t="s">
        <v>1</v>
      </c>
      <c r="O12" s="53" t="s">
        <v>273</v>
      </c>
      <c r="P12" s="53" t="s">
        <v>310</v>
      </c>
      <c r="Q12" s="53" t="s">
        <v>274</v>
      </c>
      <c r="R12" s="53" t="s">
        <v>311</v>
      </c>
    </row>
    <row r="13" spans="2:18" ht="17.649999999999999" thickTop="1" thickBot="1">
      <c r="B13" s="19">
        <v>1</v>
      </c>
      <c r="C13" s="19" t="s">
        <v>0</v>
      </c>
      <c r="D13" s="20" t="s">
        <v>48</v>
      </c>
      <c r="E13" s="21">
        <v>150</v>
      </c>
      <c r="F13" s="44"/>
      <c r="G13" s="22">
        <v>1</v>
      </c>
      <c r="H13" s="23">
        <f>E13*G13</f>
        <v>150</v>
      </c>
      <c r="I13" s="20" t="s">
        <v>51</v>
      </c>
      <c r="J13" s="31">
        <f t="shared" ref="J13:J19" si="0">ROUND($E13,2)</f>
        <v>150</v>
      </c>
      <c r="K13" s="31">
        <f t="shared" ref="K13:K19" si="1">J13*$G13</f>
        <v>150</v>
      </c>
      <c r="L13" s="31">
        <f t="shared" ref="L13:L19" si="2">K13-$H13</f>
        <v>0</v>
      </c>
      <c r="N13" s="51">
        <v>1</v>
      </c>
      <c r="O13" s="54" t="s">
        <v>276</v>
      </c>
      <c r="P13" s="54"/>
      <c r="Q13" s="55" t="s">
        <v>389</v>
      </c>
      <c r="R13" s="54" t="s">
        <v>390</v>
      </c>
    </row>
    <row r="14" spans="2:18" ht="17.649999999999999" thickTop="1" thickBot="1">
      <c r="B14" s="19">
        <v>2</v>
      </c>
      <c r="C14" s="19" t="s">
        <v>0</v>
      </c>
      <c r="D14" s="20" t="s">
        <v>49</v>
      </c>
      <c r="E14" s="21">
        <v>150</v>
      </c>
      <c r="F14" s="44"/>
      <c r="G14" s="22">
        <v>1</v>
      </c>
      <c r="H14" s="23">
        <f>E14*G14</f>
        <v>150</v>
      </c>
      <c r="I14" s="20" t="s">
        <v>51</v>
      </c>
      <c r="J14" s="31">
        <f t="shared" si="0"/>
        <v>150</v>
      </c>
      <c r="K14" s="31">
        <f t="shared" si="1"/>
        <v>150</v>
      </c>
      <c r="L14" s="31">
        <f t="shared" si="2"/>
        <v>0</v>
      </c>
      <c r="N14" s="51">
        <v>2</v>
      </c>
      <c r="O14" s="54" t="s">
        <v>276</v>
      </c>
      <c r="P14" s="54" t="s">
        <v>327</v>
      </c>
      <c r="Q14" s="55" t="s">
        <v>391</v>
      </c>
      <c r="R14" s="54" t="s">
        <v>392</v>
      </c>
    </row>
    <row r="15" spans="2:18" ht="17.649999999999999" thickTop="1" thickBot="1">
      <c r="B15" s="19">
        <v>3</v>
      </c>
      <c r="C15" s="19" t="s">
        <v>0</v>
      </c>
      <c r="D15" s="20" t="s">
        <v>50</v>
      </c>
      <c r="E15" s="21">
        <v>372</v>
      </c>
      <c r="F15" s="44"/>
      <c r="G15" s="22">
        <v>1</v>
      </c>
      <c r="H15" s="23">
        <f t="shared" ref="H15:H25" si="3">E15*G15</f>
        <v>372</v>
      </c>
      <c r="I15" s="20" t="s">
        <v>51</v>
      </c>
      <c r="J15" s="31">
        <f t="shared" si="0"/>
        <v>372</v>
      </c>
      <c r="K15" s="31">
        <f t="shared" si="1"/>
        <v>372</v>
      </c>
      <c r="L15" s="31">
        <f t="shared" si="2"/>
        <v>0</v>
      </c>
      <c r="N15" s="51">
        <v>3</v>
      </c>
      <c r="O15" s="54" t="s">
        <v>276</v>
      </c>
      <c r="P15" s="54"/>
      <c r="Q15" s="55" t="s">
        <v>389</v>
      </c>
      <c r="R15" s="54" t="s">
        <v>393</v>
      </c>
    </row>
    <row r="16" spans="2:18" ht="17.649999999999999" thickTop="1" thickBot="1">
      <c r="B16" s="19">
        <v>4</v>
      </c>
      <c r="C16" s="19" t="s">
        <v>0</v>
      </c>
      <c r="D16" s="20" t="s">
        <v>64</v>
      </c>
      <c r="E16" s="21">
        <v>252</v>
      </c>
      <c r="F16" s="44"/>
      <c r="G16" s="22">
        <v>1</v>
      </c>
      <c r="H16" s="23">
        <f t="shared" si="3"/>
        <v>252</v>
      </c>
      <c r="I16" s="20" t="s">
        <v>51</v>
      </c>
      <c r="J16" s="31">
        <f t="shared" si="0"/>
        <v>252</v>
      </c>
      <c r="K16" s="31">
        <f t="shared" si="1"/>
        <v>252</v>
      </c>
      <c r="L16" s="31">
        <f t="shared" si="2"/>
        <v>0</v>
      </c>
      <c r="N16" s="51">
        <v>4</v>
      </c>
      <c r="O16" s="54" t="s">
        <v>276</v>
      </c>
      <c r="P16" s="54" t="s">
        <v>333</v>
      </c>
      <c r="Q16" s="55" t="s">
        <v>394</v>
      </c>
      <c r="R16" s="54" t="s">
        <v>395</v>
      </c>
    </row>
    <row r="17" spans="1:18" ht="17.649999999999999" thickTop="1" thickBot="1">
      <c r="B17" s="19">
        <v>5</v>
      </c>
      <c r="C17" s="19" t="s">
        <v>41</v>
      </c>
      <c r="D17" s="20" t="s">
        <v>137</v>
      </c>
      <c r="E17" s="21">
        <v>10</v>
      </c>
      <c r="F17" s="44"/>
      <c r="G17" s="22">
        <v>1</v>
      </c>
      <c r="H17" s="23">
        <f t="shared" si="3"/>
        <v>10</v>
      </c>
      <c r="I17" s="20" t="s">
        <v>51</v>
      </c>
      <c r="J17" s="31">
        <f t="shared" si="0"/>
        <v>10</v>
      </c>
      <c r="K17" s="31">
        <f t="shared" si="1"/>
        <v>10</v>
      </c>
      <c r="L17" s="31">
        <f t="shared" si="2"/>
        <v>0</v>
      </c>
      <c r="M17" s="24"/>
      <c r="N17" s="51">
        <v>5</v>
      </c>
      <c r="O17" s="54" t="s">
        <v>276</v>
      </c>
      <c r="P17" s="54" t="s">
        <v>396</v>
      </c>
      <c r="Q17" s="55" t="s">
        <v>397</v>
      </c>
      <c r="R17" s="54" t="s">
        <v>398</v>
      </c>
    </row>
    <row r="18" spans="1:18" ht="17.649999999999999" thickTop="1" thickBot="1">
      <c r="B18" s="19">
        <v>6</v>
      </c>
      <c r="C18" s="19" t="s">
        <v>41</v>
      </c>
      <c r="D18" s="20" t="s">
        <v>138</v>
      </c>
      <c r="E18" s="21">
        <f>175/3.6725</f>
        <v>47.651463580667119</v>
      </c>
      <c r="F18" s="45" t="s">
        <v>246</v>
      </c>
      <c r="G18" s="22">
        <v>1</v>
      </c>
      <c r="H18" s="23">
        <f t="shared" si="3"/>
        <v>47.651463580667119</v>
      </c>
      <c r="I18" s="20" t="s">
        <v>51</v>
      </c>
      <c r="J18" s="31">
        <f t="shared" si="0"/>
        <v>47.65</v>
      </c>
      <c r="K18" s="31">
        <f t="shared" si="1"/>
        <v>47.65</v>
      </c>
      <c r="L18" s="31">
        <f t="shared" si="2"/>
        <v>-1.4635806671208229E-3</v>
      </c>
      <c r="M18" s="24"/>
      <c r="N18" s="51">
        <v>6</v>
      </c>
      <c r="O18" s="54" t="s">
        <v>276</v>
      </c>
      <c r="P18" s="54">
        <f>175/3.6725</f>
        <v>47.651463580667119</v>
      </c>
      <c r="Q18" s="55" t="s">
        <v>397</v>
      </c>
      <c r="R18" s="54" t="s">
        <v>399</v>
      </c>
    </row>
    <row r="19" spans="1:18" ht="34.5" thickTop="1" thickBot="1">
      <c r="B19" s="19">
        <v>7</v>
      </c>
      <c r="C19" s="19" t="s">
        <v>41</v>
      </c>
      <c r="D19" s="20" t="s">
        <v>139</v>
      </c>
      <c r="E19" s="21">
        <f>30/3.6725</f>
        <v>8.1688223281143646</v>
      </c>
      <c r="F19" s="45" t="s">
        <v>247</v>
      </c>
      <c r="G19" s="22">
        <v>1</v>
      </c>
      <c r="H19" s="23">
        <f t="shared" si="3"/>
        <v>8.1688223281143646</v>
      </c>
      <c r="I19" s="20" t="s">
        <v>51</v>
      </c>
      <c r="J19" s="31">
        <f t="shared" si="0"/>
        <v>8.17</v>
      </c>
      <c r="K19" s="31">
        <f t="shared" si="1"/>
        <v>8.17</v>
      </c>
      <c r="L19" s="31">
        <f t="shared" si="2"/>
        <v>1.1776718856353341E-3</v>
      </c>
      <c r="N19" s="51">
        <v>7</v>
      </c>
      <c r="O19" s="54" t="s">
        <v>276</v>
      </c>
      <c r="P19" s="54">
        <f>30/3.6725</f>
        <v>8.1688223281143646</v>
      </c>
      <c r="Q19" s="55" t="s">
        <v>400</v>
      </c>
      <c r="R19" s="54" t="s">
        <v>401</v>
      </c>
    </row>
    <row r="20" spans="1:18" s="34" customFormat="1" ht="13.9" thickTop="1" thickBot="1">
      <c r="B20" s="3"/>
      <c r="C20" s="3"/>
      <c r="D20" s="28"/>
      <c r="E20" s="35"/>
      <c r="F20" s="42"/>
      <c r="G20" s="22"/>
      <c r="H20" s="37">
        <f t="shared" si="3"/>
        <v>0</v>
      </c>
      <c r="I20" s="20"/>
      <c r="J20" s="48"/>
      <c r="K20" s="48"/>
      <c r="L20" s="48"/>
    </row>
    <row r="21" spans="1:18" ht="13.9" thickTop="1" thickBot="1">
      <c r="B21" s="19"/>
      <c r="C21" s="19"/>
      <c r="D21" s="20" t="s">
        <v>43</v>
      </c>
      <c r="E21" s="21"/>
      <c r="F21" s="41"/>
      <c r="G21" s="22"/>
      <c r="H21" s="23">
        <f t="shared" si="3"/>
        <v>0</v>
      </c>
      <c r="I21" s="20"/>
      <c r="J21" s="31"/>
      <c r="K21" s="31"/>
      <c r="L21" s="31"/>
    </row>
    <row r="22" spans="1:18" ht="13.9" thickTop="1" thickBot="1">
      <c r="B22" s="19"/>
      <c r="C22" s="19"/>
      <c r="D22" s="20"/>
      <c r="E22" s="21"/>
      <c r="F22" s="41"/>
      <c r="G22" s="22"/>
      <c r="H22" s="23">
        <f t="shared" si="3"/>
        <v>0</v>
      </c>
      <c r="I22" s="20"/>
      <c r="J22" s="31"/>
      <c r="K22" s="31"/>
      <c r="L22" s="31"/>
    </row>
    <row r="23" spans="1:18" ht="13.9" thickTop="1" thickBot="1">
      <c r="B23" s="19"/>
      <c r="C23" s="19"/>
      <c r="D23" s="20"/>
      <c r="E23" s="21"/>
      <c r="F23" s="41"/>
      <c r="G23" s="22"/>
      <c r="H23" s="23">
        <f t="shared" si="3"/>
        <v>0</v>
      </c>
      <c r="I23" s="20"/>
      <c r="J23" s="31"/>
      <c r="K23" s="31"/>
      <c r="L23" s="31"/>
    </row>
    <row r="24" spans="1:18" ht="13.9" thickTop="1" thickBot="1">
      <c r="B24" s="19"/>
      <c r="C24" s="19"/>
      <c r="D24" s="20"/>
      <c r="E24" s="21"/>
      <c r="F24" s="41"/>
      <c r="G24" s="22"/>
      <c r="H24" s="23">
        <f t="shared" si="3"/>
        <v>0</v>
      </c>
      <c r="I24" s="20"/>
      <c r="J24" s="31"/>
      <c r="K24" s="31"/>
      <c r="L24" s="31"/>
    </row>
    <row r="25" spans="1:18" ht="13.9" thickTop="1" thickBot="1">
      <c r="B25" s="19"/>
      <c r="C25" s="19"/>
      <c r="D25" s="20"/>
      <c r="E25" s="21"/>
      <c r="F25" s="41"/>
      <c r="G25" s="22"/>
      <c r="H25" s="23">
        <f t="shared" si="3"/>
        <v>0</v>
      </c>
      <c r="I25" s="20"/>
      <c r="J25" s="31"/>
      <c r="K25" s="31"/>
      <c r="L25" s="31"/>
    </row>
    <row r="26" spans="1:18" s="29" customFormat="1" ht="13.9" thickTop="1" thickBot="1">
      <c r="A26" s="11"/>
      <c r="B26" s="25"/>
      <c r="C26" s="25"/>
      <c r="D26" s="26"/>
      <c r="E26" s="27"/>
      <c r="F26" s="27"/>
      <c r="G26" s="25"/>
      <c r="H26" s="23"/>
      <c r="I26" s="28"/>
      <c r="J26" s="49"/>
      <c r="K26" s="49"/>
      <c r="L26" s="49"/>
    </row>
    <row r="27" spans="1:18" ht="13.9" thickTop="1" thickBot="1">
      <c r="B27" s="79" t="s">
        <v>39</v>
      </c>
      <c r="C27" s="79"/>
      <c r="D27" s="79"/>
      <c r="E27" s="79"/>
      <c r="F27" s="79"/>
      <c r="G27" s="79"/>
      <c r="H27" s="30">
        <f>SUM(H13:H26)</f>
        <v>989.82028590878156</v>
      </c>
      <c r="J27" s="31"/>
      <c r="K27" s="50">
        <f>SUM(K$13:K26)</f>
        <v>989.81999999999994</v>
      </c>
      <c r="L27" s="50">
        <f>SUM(L$13:L26)</f>
        <v>-2.8590878148548882E-4</v>
      </c>
    </row>
    <row r="28" spans="1:18" ht="13.5" thickTop="1"/>
    <row r="29" spans="1:18">
      <c r="G29" s="11" t="s">
        <v>40</v>
      </c>
      <c r="H29" s="24">
        <f>H27*3.6725</f>
        <v>3635.1150000000002</v>
      </c>
    </row>
  </sheetData>
  <mergeCells count="4">
    <mergeCell ref="B7:D7"/>
    <mergeCell ref="B8:D8"/>
    <mergeCell ref="B9:D9"/>
    <mergeCell ref="B27:G27"/>
  </mergeCells>
  <phoneticPr fontId="3" type="noConversion"/>
  <hyperlinks>
    <hyperlink ref="I8" location="SEPT!A1" display="BAMF0017850" xr:uid="{731C7276-E195-445B-B806-7A1BBBDA9C75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6296E-DC69-42D4-A4C7-9A22B24B3D5E}">
  <sheetPr codeName="Sheet119">
    <tabColor rgb="FF92D050"/>
  </sheetPr>
  <dimension ref="A5:L23"/>
  <sheetViews>
    <sheetView topLeftCell="E1" zoomScale="70" zoomScaleNormal="70" workbookViewId="0">
      <selection activeCell="M28" sqref="M28"/>
    </sheetView>
  </sheetViews>
  <sheetFormatPr defaultColWidth="9.125" defaultRowHeight="13.15"/>
  <cols>
    <col min="1" max="1" width="9.125" style="11"/>
    <col min="2" max="2" width="5.875" style="11" bestFit="1" customWidth="1"/>
    <col min="3" max="3" width="13.6875" style="11" bestFit="1" customWidth="1"/>
    <col min="4" max="4" width="55.125" style="11" bestFit="1" customWidth="1"/>
    <col min="5" max="5" width="7.375" style="11" bestFit="1" customWidth="1"/>
    <col min="6" max="6" width="9.6875" style="11" bestFit="1" customWidth="1"/>
    <col min="7" max="7" width="5.125" style="11" bestFit="1" customWidth="1"/>
    <col min="8" max="8" width="17.375" style="11" bestFit="1" customWidth="1"/>
    <col min="9" max="9" width="25.6875" style="11" bestFit="1" customWidth="1"/>
    <col min="10" max="10" width="9.6875" style="11" bestFit="1" customWidth="1"/>
    <col min="11" max="11" width="10.875" style="11" bestFit="1" customWidth="1"/>
    <col min="12" max="12" width="12.125" style="11" bestFit="1" customWidth="1"/>
    <col min="13" max="13" width="10.125" style="11" bestFit="1" customWidth="1"/>
    <col min="14" max="15" width="10.6875" style="11" customWidth="1"/>
    <col min="16" max="17" width="80.6875" style="11" customWidth="1"/>
    <col min="18" max="18" width="110.6875" style="11" customWidth="1"/>
    <col min="19" max="16384" width="9.125" style="11"/>
  </cols>
  <sheetData>
    <row r="5" spans="2:12" ht="13.5" thickBot="1"/>
    <row r="6" spans="2:12" ht="13.9" thickTop="1" thickBot="1">
      <c r="B6" s="11" t="s">
        <v>23</v>
      </c>
      <c r="H6" s="12" t="s">
        <v>24</v>
      </c>
      <c r="I6" s="13">
        <f ca="1">TODAY()</f>
        <v>45944</v>
      </c>
    </row>
    <row r="7" spans="2:12" ht="13.9" thickTop="1" thickBot="1">
      <c r="B7" s="77" t="s">
        <v>25</v>
      </c>
      <c r="C7" s="77"/>
      <c r="D7" s="77"/>
      <c r="H7" s="12" t="s">
        <v>26</v>
      </c>
      <c r="I7" s="14" t="s">
        <v>27</v>
      </c>
    </row>
    <row r="8" spans="2:12" ht="13.9" thickTop="1" thickBot="1">
      <c r="B8" s="78" t="s">
        <v>28</v>
      </c>
      <c r="C8" s="78"/>
      <c r="D8" s="78"/>
      <c r="H8" s="12" t="s">
        <v>29</v>
      </c>
      <c r="I8" s="15" t="s">
        <v>124</v>
      </c>
    </row>
    <row r="9" spans="2:12" ht="13.9" thickTop="1" thickBot="1">
      <c r="B9" s="78" t="s">
        <v>30</v>
      </c>
      <c r="C9" s="78"/>
      <c r="D9" s="78"/>
      <c r="H9" s="12" t="s">
        <v>31</v>
      </c>
      <c r="I9" s="16" t="s">
        <v>114</v>
      </c>
    </row>
    <row r="10" spans="2:12" ht="13.9" thickTop="1" thickBot="1">
      <c r="H10" s="12" t="s">
        <v>32</v>
      </c>
      <c r="I10" s="16" t="s">
        <v>115</v>
      </c>
    </row>
    <row r="11" spans="2:12" ht="13.9" thickTop="1" thickBot="1"/>
    <row r="12" spans="2:12" ht="13.9" thickTop="1" thickBot="1">
      <c r="B12" s="17" t="s">
        <v>1</v>
      </c>
      <c r="C12" s="17" t="s">
        <v>33</v>
      </c>
      <c r="D12" s="18" t="s">
        <v>34</v>
      </c>
      <c r="E12" s="18" t="s">
        <v>35</v>
      </c>
      <c r="F12" s="43" t="s">
        <v>243</v>
      </c>
      <c r="G12" s="18" t="s">
        <v>36</v>
      </c>
      <c r="H12" s="18" t="s">
        <v>37</v>
      </c>
      <c r="I12" s="18" t="s">
        <v>38</v>
      </c>
      <c r="J12" s="47" t="s">
        <v>264</v>
      </c>
      <c r="K12" s="47" t="s">
        <v>265</v>
      </c>
      <c r="L12" s="47" t="s">
        <v>266</v>
      </c>
    </row>
    <row r="13" spans="2:12" ht="13.9" thickTop="1" thickBot="1">
      <c r="B13" s="70">
        <v>1</v>
      </c>
      <c r="C13" s="70" t="s">
        <v>0</v>
      </c>
      <c r="D13" s="71" t="s">
        <v>116</v>
      </c>
      <c r="E13" s="72">
        <f>180/3.6725</f>
        <v>49.012933968686184</v>
      </c>
      <c r="F13" s="73" t="s">
        <v>422</v>
      </c>
      <c r="G13" s="74">
        <v>1</v>
      </c>
      <c r="H13" s="75">
        <f>E13*G13</f>
        <v>49.012933968686184</v>
      </c>
      <c r="I13" s="71" t="s">
        <v>51</v>
      </c>
      <c r="J13" s="76">
        <f>ROUND($E13,2)</f>
        <v>49.01</v>
      </c>
      <c r="K13" s="76">
        <f>J13*$G13</f>
        <v>49.01</v>
      </c>
      <c r="L13" s="76">
        <f>K13-$H13</f>
        <v>-2.9339686861860059E-3</v>
      </c>
    </row>
    <row r="14" spans="2:12" ht="13.9" thickTop="1" thickBot="1">
      <c r="B14" s="19"/>
      <c r="C14" s="19"/>
      <c r="D14" s="20"/>
      <c r="E14" s="21"/>
      <c r="F14" s="41"/>
      <c r="G14" s="22"/>
      <c r="H14" s="23">
        <f t="shared" ref="H14:H19" si="0">E14*G14</f>
        <v>0</v>
      </c>
      <c r="I14" s="20"/>
      <c r="J14" s="31"/>
      <c r="K14" s="31"/>
      <c r="L14" s="31"/>
    </row>
    <row r="15" spans="2:12" ht="13.9" thickTop="1" thickBot="1">
      <c r="B15" s="19"/>
      <c r="C15" s="19"/>
      <c r="D15" s="20" t="s">
        <v>43</v>
      </c>
      <c r="E15" s="21"/>
      <c r="F15" s="41"/>
      <c r="G15" s="22"/>
      <c r="H15" s="23">
        <f t="shared" si="0"/>
        <v>0</v>
      </c>
      <c r="I15" s="20"/>
      <c r="J15" s="31"/>
      <c r="K15" s="31"/>
      <c r="L15" s="31"/>
    </row>
    <row r="16" spans="2:12" ht="13.9" thickTop="1" thickBot="1">
      <c r="B16" s="19"/>
      <c r="C16" s="19"/>
      <c r="D16" s="20"/>
      <c r="E16" s="21"/>
      <c r="F16" s="41"/>
      <c r="G16" s="22"/>
      <c r="H16" s="23">
        <f t="shared" si="0"/>
        <v>0</v>
      </c>
      <c r="I16" s="20"/>
      <c r="J16" s="31"/>
      <c r="K16" s="31"/>
      <c r="L16" s="31"/>
    </row>
    <row r="17" spans="1:12" ht="13.9" thickTop="1" thickBot="1">
      <c r="B17" s="19"/>
      <c r="C17" s="19"/>
      <c r="D17" s="20"/>
      <c r="E17" s="21"/>
      <c r="F17" s="41"/>
      <c r="G17" s="22"/>
      <c r="H17" s="23">
        <f t="shared" si="0"/>
        <v>0</v>
      </c>
      <c r="I17" s="20"/>
      <c r="J17" s="31"/>
      <c r="K17" s="31"/>
      <c r="L17" s="31"/>
    </row>
    <row r="18" spans="1:12" ht="13.9" thickTop="1" thickBot="1">
      <c r="B18" s="19"/>
      <c r="C18" s="19"/>
      <c r="D18" s="20"/>
      <c r="E18" s="21"/>
      <c r="F18" s="41"/>
      <c r="G18" s="22"/>
      <c r="H18" s="23">
        <f t="shared" si="0"/>
        <v>0</v>
      </c>
      <c r="I18" s="20"/>
      <c r="J18" s="31"/>
      <c r="K18" s="31"/>
      <c r="L18" s="31"/>
    </row>
    <row r="19" spans="1:12" ht="13.9" thickTop="1" thickBot="1">
      <c r="B19" s="19"/>
      <c r="C19" s="19"/>
      <c r="D19" s="20"/>
      <c r="E19" s="21"/>
      <c r="F19" s="41"/>
      <c r="G19" s="22"/>
      <c r="H19" s="23">
        <f t="shared" si="0"/>
        <v>0</v>
      </c>
      <c r="I19" s="20"/>
      <c r="J19" s="31"/>
      <c r="K19" s="31"/>
      <c r="L19" s="31"/>
    </row>
    <row r="20" spans="1:12" s="29" customFormat="1" ht="13.9" thickTop="1" thickBot="1">
      <c r="A20" s="11"/>
      <c r="B20" s="25"/>
      <c r="C20" s="25"/>
      <c r="D20" s="26"/>
      <c r="E20" s="27"/>
      <c r="F20" s="27"/>
      <c r="G20" s="25"/>
      <c r="H20" s="23"/>
      <c r="I20" s="28"/>
      <c r="J20" s="49"/>
      <c r="K20" s="49"/>
      <c r="L20" s="49"/>
    </row>
    <row r="21" spans="1:12" ht="13.9" thickTop="1" thickBot="1">
      <c r="B21" s="79" t="s">
        <v>39</v>
      </c>
      <c r="C21" s="79"/>
      <c r="D21" s="79"/>
      <c r="E21" s="79"/>
      <c r="F21" s="79"/>
      <c r="G21" s="79"/>
      <c r="H21" s="30">
        <f>SUM(H13:H20)</f>
        <v>49.012933968686184</v>
      </c>
      <c r="J21" s="31"/>
      <c r="K21" s="50">
        <f>SUM(K$13:K20)</f>
        <v>49.01</v>
      </c>
      <c r="L21" s="50">
        <f>SUM(L$13:L20)</f>
        <v>-2.9339686861860059E-3</v>
      </c>
    </row>
    <row r="22" spans="1:12" ht="13.5" thickTop="1"/>
    <row r="23" spans="1:12">
      <c r="G23" s="11" t="s">
        <v>40</v>
      </c>
      <c r="H23" s="24">
        <f>H21*3.6725</f>
        <v>180</v>
      </c>
    </row>
  </sheetData>
  <mergeCells count="4">
    <mergeCell ref="B7:D7"/>
    <mergeCell ref="B8:D8"/>
    <mergeCell ref="B9:D9"/>
    <mergeCell ref="B21:G21"/>
  </mergeCells>
  <phoneticPr fontId="3" type="noConversion"/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C1C87-7168-4D93-8B73-715A5CB370E3}">
  <sheetPr codeName="Sheet107">
    <tabColor rgb="FF92D050"/>
  </sheetPr>
  <dimension ref="A5:R32"/>
  <sheetViews>
    <sheetView topLeftCell="F7" zoomScaleNormal="100" workbookViewId="0">
      <selection activeCell="P13" sqref="P13"/>
    </sheetView>
  </sheetViews>
  <sheetFormatPr defaultColWidth="9.125" defaultRowHeight="13.15"/>
  <cols>
    <col min="1" max="1" width="9.125" style="11"/>
    <col min="2" max="2" width="5.875" style="11" bestFit="1" customWidth="1"/>
    <col min="3" max="3" width="13.6875" style="11" bestFit="1" customWidth="1"/>
    <col min="4" max="4" width="76.625" style="11" bestFit="1" customWidth="1"/>
    <col min="5" max="5" width="8.375" style="11" bestFit="1" customWidth="1"/>
    <col min="6" max="6" width="14" style="11" bestFit="1" customWidth="1"/>
    <col min="7" max="7" width="5.125" style="11" bestFit="1" customWidth="1"/>
    <col min="8" max="8" width="17.375" style="11" bestFit="1" customWidth="1"/>
    <col min="9" max="9" width="25.6875" style="11" bestFit="1" customWidth="1"/>
    <col min="10" max="10" width="9.6875" style="11" bestFit="1" customWidth="1"/>
    <col min="11" max="11" width="10.875" style="11" bestFit="1" customWidth="1"/>
    <col min="12" max="12" width="12.125" style="11" bestFit="1" customWidth="1"/>
    <col min="13" max="13" width="9.125" style="11"/>
    <col min="14" max="15" width="10.6875" style="11" customWidth="1"/>
    <col min="16" max="17" width="80.6875" style="11" customWidth="1"/>
    <col min="18" max="18" width="110.6875" style="11" customWidth="1"/>
    <col min="19" max="16384" width="9.125" style="11"/>
  </cols>
  <sheetData>
    <row r="5" spans="2:18" ht="13.5" thickBot="1"/>
    <row r="6" spans="2:18" ht="13.9" thickTop="1" thickBot="1">
      <c r="B6" s="11" t="s">
        <v>23</v>
      </c>
      <c r="H6" s="12" t="s">
        <v>24</v>
      </c>
      <c r="I6" s="13">
        <f ca="1">TODAY()</f>
        <v>45944</v>
      </c>
    </row>
    <row r="7" spans="2:18" ht="13.9" thickTop="1" thickBot="1">
      <c r="B7" s="77" t="s">
        <v>25</v>
      </c>
      <c r="C7" s="77"/>
      <c r="D7" s="77"/>
      <c r="H7" s="12" t="s">
        <v>26</v>
      </c>
      <c r="I7" s="14" t="s">
        <v>27</v>
      </c>
    </row>
    <row r="8" spans="2:18" ht="13.9" thickTop="1" thickBot="1">
      <c r="B8" s="78" t="s">
        <v>28</v>
      </c>
      <c r="C8" s="78"/>
      <c r="D8" s="78"/>
      <c r="H8" s="12" t="s">
        <v>29</v>
      </c>
      <c r="I8" s="15" t="s">
        <v>61</v>
      </c>
    </row>
    <row r="9" spans="2:18" ht="13.9" thickTop="1" thickBot="1">
      <c r="B9" s="78" t="s">
        <v>30</v>
      </c>
      <c r="C9" s="78"/>
      <c r="D9" s="78"/>
      <c r="H9" s="12" t="s">
        <v>31</v>
      </c>
      <c r="I9" s="16" t="s">
        <v>60</v>
      </c>
    </row>
    <row r="10" spans="2:18" ht="13.9" thickTop="1" thickBot="1">
      <c r="H10" s="12" t="s">
        <v>32</v>
      </c>
      <c r="I10" s="16" t="s">
        <v>62</v>
      </c>
    </row>
    <row r="11" spans="2:18" ht="13.9" thickTop="1" thickBot="1"/>
    <row r="12" spans="2:18" ht="17.649999999999999" thickTop="1" thickBot="1">
      <c r="B12" s="17" t="s">
        <v>1</v>
      </c>
      <c r="C12" s="17" t="s">
        <v>33</v>
      </c>
      <c r="D12" s="18" t="s">
        <v>34</v>
      </c>
      <c r="E12" s="18" t="s">
        <v>35</v>
      </c>
      <c r="F12" s="43" t="s">
        <v>243</v>
      </c>
      <c r="G12" s="18" t="s">
        <v>36</v>
      </c>
      <c r="H12" s="18" t="s">
        <v>37</v>
      </c>
      <c r="I12" s="18" t="s">
        <v>38</v>
      </c>
      <c r="J12" s="47" t="s">
        <v>264</v>
      </c>
      <c r="K12" s="47" t="s">
        <v>265</v>
      </c>
      <c r="L12" s="47" t="s">
        <v>266</v>
      </c>
      <c r="N12" s="52" t="s">
        <v>1</v>
      </c>
      <c r="O12" s="53" t="s">
        <v>273</v>
      </c>
      <c r="P12" s="53" t="s">
        <v>310</v>
      </c>
      <c r="Q12" s="53" t="s">
        <v>274</v>
      </c>
      <c r="R12" s="53" t="s">
        <v>311</v>
      </c>
    </row>
    <row r="13" spans="2:18" ht="17.649999999999999" thickTop="1" thickBot="1">
      <c r="B13" s="19">
        <v>1</v>
      </c>
      <c r="C13" s="19" t="s">
        <v>0</v>
      </c>
      <c r="D13" s="20" t="s">
        <v>48</v>
      </c>
      <c r="E13" s="21">
        <v>150</v>
      </c>
      <c r="F13" s="44"/>
      <c r="G13" s="22">
        <v>1</v>
      </c>
      <c r="H13" s="23">
        <f>E13*G13</f>
        <v>150</v>
      </c>
      <c r="I13" s="20" t="s">
        <v>51</v>
      </c>
      <c r="J13" s="31">
        <f t="shared" ref="J13:J19" si="0">ROUND($E13,2)</f>
        <v>150</v>
      </c>
      <c r="K13" s="31">
        <f t="shared" ref="K13:K19" si="1">J13*$G13</f>
        <v>150</v>
      </c>
      <c r="L13" s="31">
        <f t="shared" ref="L13:L19" si="2">K13-$H13</f>
        <v>0</v>
      </c>
      <c r="N13" s="51">
        <v>1</v>
      </c>
      <c r="O13" s="54" t="s">
        <v>276</v>
      </c>
      <c r="P13" s="54" t="s">
        <v>376</v>
      </c>
      <c r="Q13" s="55" t="s">
        <v>377</v>
      </c>
      <c r="R13" s="54" t="s">
        <v>378</v>
      </c>
    </row>
    <row r="14" spans="2:18" ht="17.649999999999999" thickTop="1" thickBot="1">
      <c r="B14" s="19">
        <v>2</v>
      </c>
      <c r="C14" s="19" t="s">
        <v>0</v>
      </c>
      <c r="D14" s="20" t="s">
        <v>49</v>
      </c>
      <c r="E14" s="21">
        <v>150</v>
      </c>
      <c r="F14" s="44"/>
      <c r="G14" s="22">
        <v>1</v>
      </c>
      <c r="H14" s="23">
        <f>E14*G14</f>
        <v>150</v>
      </c>
      <c r="I14" s="20" t="s">
        <v>51</v>
      </c>
      <c r="J14" s="31">
        <f t="shared" si="0"/>
        <v>150</v>
      </c>
      <c r="K14" s="31">
        <f t="shared" si="1"/>
        <v>150</v>
      </c>
      <c r="L14" s="31">
        <f t="shared" si="2"/>
        <v>0</v>
      </c>
      <c r="N14" s="51">
        <v>2</v>
      </c>
      <c r="O14" s="54" t="s">
        <v>276</v>
      </c>
      <c r="P14" s="54" t="s">
        <v>327</v>
      </c>
      <c r="Q14" s="55" t="s">
        <v>379</v>
      </c>
      <c r="R14" s="54" t="s">
        <v>380</v>
      </c>
    </row>
    <row r="15" spans="2:18" ht="17.649999999999999" thickTop="1" thickBot="1">
      <c r="B15" s="19">
        <v>3</v>
      </c>
      <c r="C15" s="19" t="s">
        <v>0</v>
      </c>
      <c r="D15" s="20" t="s">
        <v>50</v>
      </c>
      <c r="E15" s="21">
        <v>372</v>
      </c>
      <c r="F15" s="44"/>
      <c r="G15" s="22">
        <v>1</v>
      </c>
      <c r="H15" s="23">
        <f t="shared" ref="H15:H25" si="3">E15*G15</f>
        <v>372</v>
      </c>
      <c r="I15" s="20" t="s">
        <v>51</v>
      </c>
      <c r="J15" s="31">
        <f t="shared" si="0"/>
        <v>372</v>
      </c>
      <c r="K15" s="31">
        <f t="shared" si="1"/>
        <v>372</v>
      </c>
      <c r="L15" s="31">
        <f t="shared" si="2"/>
        <v>0</v>
      </c>
      <c r="N15" s="51">
        <v>3</v>
      </c>
      <c r="O15" s="54" t="s">
        <v>276</v>
      </c>
      <c r="P15" s="54"/>
      <c r="Q15" s="55" t="s">
        <v>377</v>
      </c>
      <c r="R15" s="54" t="s">
        <v>381</v>
      </c>
    </row>
    <row r="16" spans="2:18" ht="17.649999999999999" thickTop="1" thickBot="1">
      <c r="B16" s="19">
        <v>4</v>
      </c>
      <c r="C16" s="19" t="s">
        <v>0</v>
      </c>
      <c r="D16" s="20" t="s">
        <v>64</v>
      </c>
      <c r="E16" s="21">
        <v>252</v>
      </c>
      <c r="F16" s="44"/>
      <c r="G16" s="22">
        <v>1</v>
      </c>
      <c r="H16" s="23">
        <f t="shared" si="3"/>
        <v>252</v>
      </c>
      <c r="I16" s="20" t="s">
        <v>51</v>
      </c>
      <c r="J16" s="31">
        <f t="shared" si="0"/>
        <v>252</v>
      </c>
      <c r="K16" s="31">
        <f t="shared" si="1"/>
        <v>252</v>
      </c>
      <c r="L16" s="31">
        <f t="shared" si="2"/>
        <v>0</v>
      </c>
      <c r="N16" s="51">
        <v>4</v>
      </c>
      <c r="O16" s="54" t="s">
        <v>276</v>
      </c>
      <c r="P16" s="54" t="s">
        <v>333</v>
      </c>
      <c r="Q16" s="55" t="s">
        <v>382</v>
      </c>
      <c r="R16" s="54" t="s">
        <v>383</v>
      </c>
    </row>
    <row r="17" spans="1:18" ht="17.649999999999999" thickTop="1" thickBot="1">
      <c r="B17" s="19">
        <v>5</v>
      </c>
      <c r="C17" s="19" t="s">
        <v>41</v>
      </c>
      <c r="D17" s="20" t="s">
        <v>65</v>
      </c>
      <c r="E17" s="21">
        <f>150/3.6725</f>
        <v>40.844111640571818</v>
      </c>
      <c r="F17" s="45" t="s">
        <v>249</v>
      </c>
      <c r="G17" s="22">
        <v>1</v>
      </c>
      <c r="H17" s="23">
        <f t="shared" si="3"/>
        <v>40.844111640571818</v>
      </c>
      <c r="I17" s="20" t="s">
        <v>51</v>
      </c>
      <c r="J17" s="31">
        <f t="shared" si="0"/>
        <v>40.840000000000003</v>
      </c>
      <c r="K17" s="31">
        <f t="shared" si="1"/>
        <v>40.840000000000003</v>
      </c>
      <c r="L17" s="31">
        <f t="shared" si="2"/>
        <v>-4.1116405718142346E-3</v>
      </c>
      <c r="M17" s="24"/>
      <c r="N17" s="51">
        <v>5</v>
      </c>
      <c r="O17" s="54" t="s">
        <v>276</v>
      </c>
      <c r="P17" s="54">
        <f>150/3.6725</f>
        <v>40.844111640571818</v>
      </c>
      <c r="Q17" s="55" t="s">
        <v>384</v>
      </c>
      <c r="R17" s="54" t="s">
        <v>385</v>
      </c>
    </row>
    <row r="18" spans="1:18" ht="17.649999999999999" thickTop="1" thickBot="1">
      <c r="B18" s="19">
        <v>6</v>
      </c>
      <c r="C18" s="19" t="s">
        <v>41</v>
      </c>
      <c r="D18" s="20" t="s">
        <v>128</v>
      </c>
      <c r="E18" s="21">
        <f>30/3.6725</f>
        <v>8.1688223281143646</v>
      </c>
      <c r="F18" s="45" t="s">
        <v>247</v>
      </c>
      <c r="G18" s="22">
        <v>1</v>
      </c>
      <c r="H18" s="23">
        <f t="shared" si="3"/>
        <v>8.1688223281143646</v>
      </c>
      <c r="I18" s="20" t="s">
        <v>51</v>
      </c>
      <c r="J18" s="31">
        <f t="shared" si="0"/>
        <v>8.17</v>
      </c>
      <c r="K18" s="31">
        <f t="shared" si="1"/>
        <v>8.17</v>
      </c>
      <c r="L18" s="31">
        <f t="shared" si="2"/>
        <v>1.1776718856353341E-3</v>
      </c>
      <c r="M18" s="24"/>
      <c r="N18" s="51">
        <v>6</v>
      </c>
      <c r="O18" s="54" t="s">
        <v>276</v>
      </c>
      <c r="P18" s="54">
        <f>30/3.6725</f>
        <v>8.1688223281143646</v>
      </c>
      <c r="Q18" s="55" t="s">
        <v>384</v>
      </c>
      <c r="R18" s="54" t="s">
        <v>386</v>
      </c>
    </row>
    <row r="19" spans="1:18" s="34" customFormat="1" ht="17.649999999999999" thickTop="1" thickBot="1">
      <c r="B19" s="3">
        <v>7</v>
      </c>
      <c r="C19" s="19" t="s">
        <v>41</v>
      </c>
      <c r="D19" s="28" t="s">
        <v>129</v>
      </c>
      <c r="E19" s="35">
        <f>(25+55)/3.6725</f>
        <v>21.78352620830497</v>
      </c>
      <c r="F19" s="46" t="s">
        <v>250</v>
      </c>
      <c r="G19" s="36">
        <v>1</v>
      </c>
      <c r="H19" s="37">
        <f t="shared" si="3"/>
        <v>21.78352620830497</v>
      </c>
      <c r="I19" s="20" t="s">
        <v>51</v>
      </c>
      <c r="J19" s="48">
        <f t="shared" si="0"/>
        <v>21.78</v>
      </c>
      <c r="K19" s="48">
        <f t="shared" si="1"/>
        <v>21.78</v>
      </c>
      <c r="L19" s="48">
        <f t="shared" si="2"/>
        <v>-3.5262083049687476E-3</v>
      </c>
      <c r="N19" s="51">
        <v>7</v>
      </c>
      <c r="O19" s="54" t="s">
        <v>276</v>
      </c>
      <c r="P19" s="54">
        <f>(25+55)/3.6725</f>
        <v>21.78352620830497</v>
      </c>
      <c r="Q19" s="55" t="s">
        <v>387</v>
      </c>
      <c r="R19" s="54" t="s">
        <v>388</v>
      </c>
    </row>
    <row r="20" spans="1:18" ht="13.9" thickTop="1" thickBot="1">
      <c r="B20" s="19"/>
      <c r="C20" s="19"/>
      <c r="D20" s="20"/>
      <c r="E20" s="21"/>
      <c r="F20" s="41"/>
      <c r="G20" s="22"/>
      <c r="H20" s="23">
        <f t="shared" si="3"/>
        <v>0</v>
      </c>
      <c r="I20" s="20"/>
      <c r="J20" s="31"/>
      <c r="K20" s="31"/>
      <c r="L20" s="31"/>
    </row>
    <row r="21" spans="1:18" ht="13.9" thickTop="1" thickBot="1">
      <c r="B21" s="19"/>
      <c r="C21" s="19"/>
      <c r="D21" s="20" t="s">
        <v>43</v>
      </c>
      <c r="E21" s="21"/>
      <c r="F21" s="41"/>
      <c r="G21" s="22"/>
      <c r="H21" s="23">
        <f t="shared" si="3"/>
        <v>0</v>
      </c>
      <c r="I21" s="20"/>
      <c r="J21" s="31"/>
      <c r="K21" s="31"/>
      <c r="L21" s="31"/>
    </row>
    <row r="22" spans="1:18" ht="13.9" thickTop="1" thickBot="1">
      <c r="B22" s="19"/>
      <c r="C22" s="19"/>
      <c r="D22" s="20"/>
      <c r="E22" s="21"/>
      <c r="F22" s="41"/>
      <c r="G22" s="22"/>
      <c r="H22" s="23">
        <f t="shared" si="3"/>
        <v>0</v>
      </c>
      <c r="I22" s="20"/>
      <c r="J22" s="31"/>
      <c r="K22" s="31"/>
      <c r="L22" s="31"/>
    </row>
    <row r="23" spans="1:18" ht="13.9" thickTop="1" thickBot="1">
      <c r="B23" s="19"/>
      <c r="C23" s="19"/>
      <c r="D23" s="20"/>
      <c r="E23" s="21"/>
      <c r="F23" s="41"/>
      <c r="G23" s="22"/>
      <c r="H23" s="23">
        <f t="shared" si="3"/>
        <v>0</v>
      </c>
      <c r="I23" s="20"/>
      <c r="J23" s="31"/>
      <c r="K23" s="31"/>
      <c r="L23" s="31"/>
    </row>
    <row r="24" spans="1:18" ht="13.9" thickTop="1" thickBot="1">
      <c r="B24" s="19"/>
      <c r="C24" s="19"/>
      <c r="D24" s="20"/>
      <c r="E24" s="21"/>
      <c r="F24" s="41"/>
      <c r="G24" s="22"/>
      <c r="H24" s="23">
        <f t="shared" si="3"/>
        <v>0</v>
      </c>
      <c r="I24" s="20"/>
      <c r="J24" s="31"/>
      <c r="K24" s="31"/>
      <c r="L24" s="31"/>
    </row>
    <row r="25" spans="1:18" ht="13.9" thickTop="1" thickBot="1">
      <c r="B25" s="19"/>
      <c r="C25" s="19"/>
      <c r="D25" s="20"/>
      <c r="E25" s="21"/>
      <c r="F25" s="41"/>
      <c r="G25" s="22"/>
      <c r="H25" s="23">
        <f t="shared" si="3"/>
        <v>0</v>
      </c>
      <c r="I25" s="20"/>
      <c r="J25" s="31"/>
      <c r="K25" s="31"/>
      <c r="L25" s="31"/>
    </row>
    <row r="26" spans="1:18" s="29" customFormat="1" ht="13.9" thickTop="1" thickBot="1">
      <c r="A26" s="11"/>
      <c r="B26" s="25"/>
      <c r="C26" s="25"/>
      <c r="D26" s="26"/>
      <c r="E26" s="27"/>
      <c r="F26" s="27"/>
      <c r="G26" s="25"/>
      <c r="H26" s="23"/>
      <c r="I26" s="28"/>
      <c r="J26" s="49"/>
      <c r="K26" s="49"/>
      <c r="L26" s="49"/>
    </row>
    <row r="27" spans="1:18" ht="13.9" thickTop="1" thickBot="1">
      <c r="B27" s="79" t="s">
        <v>39</v>
      </c>
      <c r="C27" s="79"/>
      <c r="D27" s="79"/>
      <c r="E27" s="79"/>
      <c r="F27" s="79"/>
      <c r="G27" s="79"/>
      <c r="H27" s="30">
        <f>SUM(H13:H26)</f>
        <v>994.7964601769911</v>
      </c>
      <c r="J27" s="31"/>
      <c r="K27" s="50">
        <f>SUM(K$13:K26)</f>
        <v>994.79</v>
      </c>
      <c r="L27" s="50">
        <f>SUM(L$13:L26)</f>
        <v>-6.4601769911476481E-3</v>
      </c>
    </row>
    <row r="28" spans="1:18" ht="13.5" thickTop="1"/>
    <row r="29" spans="1:18">
      <c r="G29" s="11" t="s">
        <v>40</v>
      </c>
      <c r="H29" s="24">
        <f>H27*3.6725</f>
        <v>3653.39</v>
      </c>
    </row>
    <row r="32" spans="1:18">
      <c r="I32" s="31"/>
    </row>
  </sheetData>
  <mergeCells count="4">
    <mergeCell ref="B7:D7"/>
    <mergeCell ref="B8:D8"/>
    <mergeCell ref="B9:D9"/>
    <mergeCell ref="B27:G27"/>
  </mergeCells>
  <phoneticPr fontId="3" type="noConversion"/>
  <hyperlinks>
    <hyperlink ref="I8" location="SEPT!A1" display="BAMF0017824" xr:uid="{C614AE4B-3274-408D-A346-A1C729BD82AC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5091F-F539-437E-BF28-17FAAF706420}">
  <sheetPr codeName="Sheet108">
    <tabColor rgb="FF92D050"/>
  </sheetPr>
  <dimension ref="A5:R28"/>
  <sheetViews>
    <sheetView topLeftCell="E1" zoomScaleNormal="100" workbookViewId="0">
      <selection activeCell="S12" sqref="S12"/>
    </sheetView>
  </sheetViews>
  <sheetFormatPr defaultColWidth="9.125" defaultRowHeight="13.15"/>
  <cols>
    <col min="1" max="1" width="9.125" style="11"/>
    <col min="2" max="2" width="5.875" style="11" bestFit="1" customWidth="1"/>
    <col min="3" max="3" width="13.6875" style="11" bestFit="1" customWidth="1"/>
    <col min="4" max="4" width="57.375" style="11" bestFit="1" customWidth="1"/>
    <col min="5" max="5" width="8.375" style="11" bestFit="1" customWidth="1"/>
    <col min="6" max="6" width="9.6875" style="11" bestFit="1" customWidth="1"/>
    <col min="7" max="7" width="5.125" style="11" bestFit="1" customWidth="1"/>
    <col min="8" max="8" width="17.375" style="11" bestFit="1" customWidth="1"/>
    <col min="9" max="9" width="25.6875" style="11" bestFit="1" customWidth="1"/>
    <col min="10" max="10" width="9.6875" style="11" bestFit="1" customWidth="1"/>
    <col min="11" max="11" width="10.875" style="11" bestFit="1" customWidth="1"/>
    <col min="12" max="12" width="12.125" style="11" bestFit="1" customWidth="1"/>
    <col min="13" max="13" width="10.125" style="11" bestFit="1" customWidth="1"/>
    <col min="14" max="15" width="10.6875" style="11" customWidth="1"/>
    <col min="16" max="17" width="80.6875" style="11" customWidth="1"/>
    <col min="18" max="18" width="110.6875" style="11" customWidth="1"/>
    <col min="19" max="16384" width="9.125" style="11"/>
  </cols>
  <sheetData>
    <row r="5" spans="2:18" ht="13.5" thickBot="1"/>
    <row r="6" spans="2:18" ht="13.9" thickTop="1" thickBot="1">
      <c r="B6" s="11" t="s">
        <v>23</v>
      </c>
      <c r="H6" s="12" t="s">
        <v>24</v>
      </c>
      <c r="I6" s="13">
        <f ca="1">TODAY()</f>
        <v>45944</v>
      </c>
    </row>
    <row r="7" spans="2:18" ht="13.9" thickTop="1" thickBot="1">
      <c r="B7" s="77" t="s">
        <v>25</v>
      </c>
      <c r="C7" s="77"/>
      <c r="D7" s="77"/>
      <c r="H7" s="12" t="s">
        <v>26</v>
      </c>
      <c r="I7" s="14" t="s">
        <v>27</v>
      </c>
    </row>
    <row r="8" spans="2:18" ht="13.9" thickTop="1" thickBot="1">
      <c r="B8" s="78" t="s">
        <v>28</v>
      </c>
      <c r="C8" s="78"/>
      <c r="D8" s="78"/>
      <c r="H8" s="12" t="s">
        <v>29</v>
      </c>
      <c r="I8" s="15" t="s">
        <v>67</v>
      </c>
    </row>
    <row r="9" spans="2:18" ht="13.9" thickTop="1" thickBot="1">
      <c r="B9" s="78" t="s">
        <v>30</v>
      </c>
      <c r="C9" s="78"/>
      <c r="D9" s="78"/>
      <c r="H9" s="12" t="s">
        <v>31</v>
      </c>
      <c r="I9" s="16" t="s">
        <v>66</v>
      </c>
    </row>
    <row r="10" spans="2:18" ht="13.9" thickTop="1" thickBot="1">
      <c r="H10" s="12" t="s">
        <v>32</v>
      </c>
      <c r="I10" s="16" t="s">
        <v>69</v>
      </c>
    </row>
    <row r="11" spans="2:18" ht="13.9" thickTop="1" thickBot="1"/>
    <row r="12" spans="2:18" ht="17.649999999999999" thickTop="1" thickBot="1">
      <c r="B12" s="17" t="s">
        <v>1</v>
      </c>
      <c r="C12" s="17" t="s">
        <v>33</v>
      </c>
      <c r="D12" s="18" t="s">
        <v>34</v>
      </c>
      <c r="E12" s="18" t="s">
        <v>35</v>
      </c>
      <c r="F12" s="43" t="s">
        <v>243</v>
      </c>
      <c r="G12" s="18" t="s">
        <v>36</v>
      </c>
      <c r="H12" s="18" t="s">
        <v>37</v>
      </c>
      <c r="I12" s="18" t="s">
        <v>38</v>
      </c>
      <c r="J12" s="47" t="s">
        <v>264</v>
      </c>
      <c r="K12" s="47" t="s">
        <v>265</v>
      </c>
      <c r="L12" s="47" t="s">
        <v>266</v>
      </c>
      <c r="N12" s="52" t="s">
        <v>1</v>
      </c>
      <c r="O12" s="53" t="s">
        <v>273</v>
      </c>
      <c r="P12" s="53" t="s">
        <v>310</v>
      </c>
      <c r="Q12" s="53" t="s">
        <v>274</v>
      </c>
      <c r="R12" s="53" t="s">
        <v>311</v>
      </c>
    </row>
    <row r="13" spans="2:18" ht="17.649999999999999" thickTop="1" thickBot="1">
      <c r="B13" s="19">
        <v>1</v>
      </c>
      <c r="C13" s="19" t="s">
        <v>0</v>
      </c>
      <c r="D13" s="20" t="s">
        <v>48</v>
      </c>
      <c r="E13" s="21">
        <v>80</v>
      </c>
      <c r="F13" s="44"/>
      <c r="G13" s="22">
        <v>1</v>
      </c>
      <c r="H13" s="23">
        <f>E13*G13</f>
        <v>80</v>
      </c>
      <c r="I13" s="20" t="s">
        <v>51</v>
      </c>
      <c r="J13" s="31">
        <f t="shared" ref="J13:J18" si="0">ROUND($E13,2)</f>
        <v>80</v>
      </c>
      <c r="K13" s="31">
        <f t="shared" ref="K13:K18" si="1">J13*$G13</f>
        <v>80</v>
      </c>
      <c r="L13" s="31">
        <f t="shared" ref="L13:L18" si="2">K13-$H13</f>
        <v>0</v>
      </c>
      <c r="N13" s="51">
        <v>1</v>
      </c>
      <c r="O13" s="54" t="s">
        <v>276</v>
      </c>
      <c r="P13" s="54" t="s">
        <v>325</v>
      </c>
      <c r="Q13" s="55" t="s">
        <v>364</v>
      </c>
      <c r="R13" s="54" t="s">
        <v>365</v>
      </c>
    </row>
    <row r="14" spans="2:18" ht="34.5" thickTop="1" thickBot="1">
      <c r="B14" s="19">
        <v>2</v>
      </c>
      <c r="C14" s="19" t="s">
        <v>0</v>
      </c>
      <c r="D14" s="20" t="s">
        <v>49</v>
      </c>
      <c r="E14" s="21">
        <v>150</v>
      </c>
      <c r="F14" s="44"/>
      <c r="G14" s="22">
        <v>1</v>
      </c>
      <c r="H14" s="23">
        <f>E14*G14</f>
        <v>150</v>
      </c>
      <c r="I14" s="20" t="s">
        <v>51</v>
      </c>
      <c r="J14" s="31">
        <f t="shared" si="0"/>
        <v>150</v>
      </c>
      <c r="K14" s="31">
        <f t="shared" si="1"/>
        <v>150</v>
      </c>
      <c r="L14" s="31">
        <f t="shared" si="2"/>
        <v>0</v>
      </c>
      <c r="N14" s="51">
        <v>2</v>
      </c>
      <c r="O14" s="54" t="s">
        <v>276</v>
      </c>
      <c r="P14" s="54" t="s">
        <v>327</v>
      </c>
      <c r="Q14" s="55" t="s">
        <v>366</v>
      </c>
      <c r="R14" s="54" t="s">
        <v>367</v>
      </c>
    </row>
    <row r="15" spans="2:18" ht="17.649999999999999" thickTop="1" thickBot="1">
      <c r="B15" s="19">
        <v>3</v>
      </c>
      <c r="C15" s="19" t="s">
        <v>0</v>
      </c>
      <c r="D15" s="20" t="s">
        <v>73</v>
      </c>
      <c r="E15" s="21">
        <v>0.55000000000000004</v>
      </c>
      <c r="F15" s="44"/>
      <c r="G15" s="22">
        <v>2136</v>
      </c>
      <c r="H15" s="23">
        <f t="shared" ref="H15:H24" si="3">E15*G15</f>
        <v>1174.8000000000002</v>
      </c>
      <c r="I15" s="20" t="s">
        <v>51</v>
      </c>
      <c r="J15" s="31">
        <f t="shared" si="0"/>
        <v>0.55000000000000004</v>
      </c>
      <c r="K15" s="31">
        <f t="shared" si="1"/>
        <v>1174.8000000000002</v>
      </c>
      <c r="L15" s="31">
        <f t="shared" si="2"/>
        <v>0</v>
      </c>
      <c r="N15" s="51">
        <v>3</v>
      </c>
      <c r="O15" s="54" t="s">
        <v>276</v>
      </c>
      <c r="P15" s="54" t="s">
        <v>330</v>
      </c>
      <c r="Q15" s="55" t="s">
        <v>368</v>
      </c>
      <c r="R15" s="54" t="s">
        <v>369</v>
      </c>
    </row>
    <row r="16" spans="2:18" ht="34.5" thickTop="1" thickBot="1">
      <c r="B16" s="19">
        <v>4</v>
      </c>
      <c r="C16" s="19" t="s">
        <v>0</v>
      </c>
      <c r="D16" s="20" t="s">
        <v>74</v>
      </c>
      <c r="E16" s="21">
        <v>200</v>
      </c>
      <c r="F16" s="44"/>
      <c r="G16" s="22">
        <v>1</v>
      </c>
      <c r="H16" s="23">
        <f t="shared" si="3"/>
        <v>200</v>
      </c>
      <c r="I16" s="20" t="s">
        <v>51</v>
      </c>
      <c r="J16" s="31">
        <f t="shared" si="0"/>
        <v>200</v>
      </c>
      <c r="K16" s="31">
        <f t="shared" si="1"/>
        <v>200</v>
      </c>
      <c r="L16" s="31">
        <f t="shared" si="2"/>
        <v>0</v>
      </c>
      <c r="N16" s="51">
        <v>4</v>
      </c>
      <c r="O16" s="54" t="s">
        <v>276</v>
      </c>
      <c r="P16" s="54" t="s">
        <v>333</v>
      </c>
      <c r="Q16" s="55" t="s">
        <v>370</v>
      </c>
      <c r="R16" s="54" t="s">
        <v>371</v>
      </c>
    </row>
    <row r="17" spans="1:18" ht="17.649999999999999" thickTop="1" thickBot="1">
      <c r="B17" s="19">
        <v>5</v>
      </c>
      <c r="C17" s="19" t="s">
        <v>41</v>
      </c>
      <c r="D17" s="20" t="s">
        <v>75</v>
      </c>
      <c r="E17" s="21">
        <f>27/3.6725</f>
        <v>7.3519400953029272</v>
      </c>
      <c r="F17" s="45" t="s">
        <v>251</v>
      </c>
      <c r="G17" s="22">
        <v>1</v>
      </c>
      <c r="H17" s="23">
        <f t="shared" si="3"/>
        <v>7.3519400953029272</v>
      </c>
      <c r="I17" s="20" t="s">
        <v>51</v>
      </c>
      <c r="J17" s="31">
        <f t="shared" si="0"/>
        <v>7.35</v>
      </c>
      <c r="K17" s="31">
        <f t="shared" si="1"/>
        <v>7.35</v>
      </c>
      <c r="L17" s="31">
        <f t="shared" si="2"/>
        <v>-1.9400953029276025E-3</v>
      </c>
      <c r="M17" s="24"/>
      <c r="N17" s="51">
        <v>5</v>
      </c>
      <c r="O17" s="54" t="s">
        <v>276</v>
      </c>
      <c r="P17" s="54">
        <f>27/3.6725</f>
        <v>7.3519400953029272</v>
      </c>
      <c r="Q17" s="55" t="s">
        <v>372</v>
      </c>
      <c r="R17" s="54" t="s">
        <v>373</v>
      </c>
    </row>
    <row r="18" spans="1:18" ht="17.649999999999999" thickTop="1" thickBot="1">
      <c r="B18" s="19">
        <v>6</v>
      </c>
      <c r="C18" s="19" t="s">
        <v>41</v>
      </c>
      <c r="D18" s="20" t="s">
        <v>76</v>
      </c>
      <c r="E18" s="21">
        <f>35/3.6725</f>
        <v>9.5302927161334239</v>
      </c>
      <c r="F18" s="45" t="s">
        <v>252</v>
      </c>
      <c r="G18" s="22">
        <v>1</v>
      </c>
      <c r="H18" s="23">
        <f t="shared" si="3"/>
        <v>9.5302927161334239</v>
      </c>
      <c r="I18" s="20" t="s">
        <v>51</v>
      </c>
      <c r="J18" s="31">
        <f t="shared" si="0"/>
        <v>9.5299999999999994</v>
      </c>
      <c r="K18" s="31">
        <f t="shared" si="1"/>
        <v>9.5299999999999994</v>
      </c>
      <c r="L18" s="31">
        <f t="shared" si="2"/>
        <v>-2.9271613342451985E-4</v>
      </c>
      <c r="M18" s="24"/>
      <c r="N18" s="51">
        <v>6</v>
      </c>
      <c r="O18" s="54" t="s">
        <v>276</v>
      </c>
      <c r="P18" s="54">
        <f>35/3.6725</f>
        <v>9.5302927161334239</v>
      </c>
      <c r="Q18" s="55" t="s">
        <v>374</v>
      </c>
      <c r="R18" s="54" t="s">
        <v>375</v>
      </c>
    </row>
    <row r="19" spans="1:18" ht="13.9" thickTop="1" thickBot="1">
      <c r="B19" s="19"/>
      <c r="C19" s="19"/>
      <c r="D19" s="20"/>
      <c r="E19" s="21"/>
      <c r="F19" s="41"/>
      <c r="G19" s="22"/>
      <c r="H19" s="23">
        <f t="shared" si="3"/>
        <v>0</v>
      </c>
      <c r="I19" s="20"/>
      <c r="J19" s="31"/>
      <c r="K19" s="31"/>
      <c r="L19" s="31"/>
    </row>
    <row r="20" spans="1:18" ht="13.9" thickTop="1" thickBot="1">
      <c r="B20" s="19"/>
      <c r="C20" s="19"/>
      <c r="D20" s="20" t="s">
        <v>43</v>
      </c>
      <c r="E20" s="21"/>
      <c r="F20" s="41"/>
      <c r="G20" s="22"/>
      <c r="H20" s="23">
        <f t="shared" si="3"/>
        <v>0</v>
      </c>
      <c r="I20" s="20"/>
      <c r="J20" s="31"/>
      <c r="K20" s="31"/>
      <c r="L20" s="31"/>
    </row>
    <row r="21" spans="1:18" ht="13.9" thickTop="1" thickBot="1">
      <c r="B21" s="19"/>
      <c r="C21" s="19"/>
      <c r="D21" s="20"/>
      <c r="E21" s="21"/>
      <c r="F21" s="41"/>
      <c r="G21" s="22"/>
      <c r="H21" s="23">
        <f t="shared" si="3"/>
        <v>0</v>
      </c>
      <c r="I21" s="20"/>
      <c r="J21" s="31"/>
      <c r="K21" s="31"/>
      <c r="L21" s="31"/>
    </row>
    <row r="22" spans="1:18" ht="13.9" thickTop="1" thickBot="1">
      <c r="B22" s="19"/>
      <c r="C22" s="19"/>
      <c r="D22" s="20"/>
      <c r="E22" s="21"/>
      <c r="F22" s="41"/>
      <c r="G22" s="22"/>
      <c r="H22" s="23">
        <f t="shared" si="3"/>
        <v>0</v>
      </c>
      <c r="I22" s="20"/>
      <c r="J22" s="31"/>
      <c r="K22" s="31"/>
      <c r="L22" s="31"/>
    </row>
    <row r="23" spans="1:18" ht="13.9" thickTop="1" thickBot="1">
      <c r="B23" s="19"/>
      <c r="C23" s="19"/>
      <c r="D23" s="20"/>
      <c r="E23" s="21"/>
      <c r="F23" s="41"/>
      <c r="G23" s="22"/>
      <c r="H23" s="23">
        <f t="shared" si="3"/>
        <v>0</v>
      </c>
      <c r="I23" s="20"/>
      <c r="J23" s="31"/>
      <c r="K23" s="31"/>
      <c r="L23" s="31"/>
    </row>
    <row r="24" spans="1:18" ht="13.9" thickTop="1" thickBot="1">
      <c r="B24" s="19"/>
      <c r="C24" s="19"/>
      <c r="D24" s="20"/>
      <c r="E24" s="21"/>
      <c r="F24" s="41"/>
      <c r="G24" s="22"/>
      <c r="H24" s="23">
        <f t="shared" si="3"/>
        <v>0</v>
      </c>
      <c r="I24" s="20"/>
      <c r="J24" s="31"/>
      <c r="K24" s="31"/>
      <c r="L24" s="31"/>
    </row>
    <row r="25" spans="1:18" s="29" customFormat="1" ht="13.9" thickTop="1" thickBot="1">
      <c r="A25" s="11"/>
      <c r="B25" s="25"/>
      <c r="C25" s="25"/>
      <c r="D25" s="26"/>
      <c r="E25" s="27"/>
      <c r="F25" s="27"/>
      <c r="G25" s="25"/>
      <c r="H25" s="23"/>
      <c r="I25" s="28"/>
      <c r="J25" s="49"/>
      <c r="K25" s="49"/>
      <c r="L25" s="49"/>
    </row>
    <row r="26" spans="1:18" ht="13.9" thickTop="1" thickBot="1">
      <c r="B26" s="79" t="s">
        <v>39</v>
      </c>
      <c r="C26" s="79"/>
      <c r="D26" s="79"/>
      <c r="E26" s="79"/>
      <c r="F26" s="79"/>
      <c r="G26" s="79"/>
      <c r="H26" s="30">
        <f>SUM(H13:H25)</f>
        <v>1621.6822328114365</v>
      </c>
      <c r="J26" s="31"/>
      <c r="K26" s="50">
        <f>SUM(K$13:K25)</f>
        <v>1621.68</v>
      </c>
      <c r="L26" s="50">
        <f>SUM(L$13:L25)</f>
        <v>-2.2328114363521223E-3</v>
      </c>
    </row>
    <row r="27" spans="1:18" ht="13.5" thickTop="1"/>
    <row r="28" spans="1:18">
      <c r="G28" s="11" t="s">
        <v>40</v>
      </c>
      <c r="H28" s="24">
        <f>H26*3.6725</f>
        <v>5955.6280000000006</v>
      </c>
    </row>
  </sheetData>
  <mergeCells count="4">
    <mergeCell ref="B7:D7"/>
    <mergeCell ref="B8:D8"/>
    <mergeCell ref="B9:D9"/>
    <mergeCell ref="B26:G26"/>
  </mergeCells>
  <phoneticPr fontId="3" type="noConversion"/>
  <hyperlinks>
    <hyperlink ref="I8" location="SEPT!A1" display="BAMF0017824" xr:uid="{77C69166-A470-42BA-BCB8-A2C71F7BD148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4E82D-AA40-4E21-BC97-D0AD23725CCF}">
  <sheetPr codeName="Sheet115">
    <tabColor rgb="FF92D050"/>
  </sheetPr>
  <dimension ref="A5:R30"/>
  <sheetViews>
    <sheetView zoomScale="40" zoomScaleNormal="40" workbookViewId="0">
      <selection activeCell="I8" sqref="I8"/>
    </sheetView>
  </sheetViews>
  <sheetFormatPr defaultColWidth="9.125" defaultRowHeight="13.15"/>
  <cols>
    <col min="1" max="1" width="9.125" style="11"/>
    <col min="2" max="2" width="5.875" style="11" bestFit="1" customWidth="1"/>
    <col min="3" max="3" width="10.125" style="11" bestFit="1" customWidth="1"/>
    <col min="4" max="4" width="66.125" style="11" bestFit="1" customWidth="1"/>
    <col min="5" max="5" width="8.375" style="11" bestFit="1" customWidth="1"/>
    <col min="6" max="6" width="12.125" style="11" bestFit="1" customWidth="1"/>
    <col min="7" max="7" width="5.125" style="11" bestFit="1" customWidth="1"/>
    <col min="8" max="8" width="17.375" style="11" bestFit="1" customWidth="1"/>
    <col min="9" max="9" width="27.875" style="11" bestFit="1" customWidth="1"/>
    <col min="10" max="10" width="9.6875" style="11" bestFit="1" customWidth="1"/>
    <col min="11" max="11" width="10.875" style="11" bestFit="1" customWidth="1"/>
    <col min="12" max="12" width="12.125" style="11" bestFit="1" customWidth="1"/>
    <col min="13" max="13" width="9.125" style="11"/>
    <col min="14" max="15" width="10.6875" style="11" customWidth="1"/>
    <col min="16" max="17" width="80.6875" style="11" customWidth="1"/>
    <col min="18" max="18" width="110.6875" style="11" customWidth="1"/>
    <col min="19" max="16384" width="9.125" style="11"/>
  </cols>
  <sheetData>
    <row r="5" spans="2:18" ht="13.5" thickBot="1"/>
    <row r="6" spans="2:18" ht="13.9" thickTop="1" thickBot="1">
      <c r="B6" s="11" t="s">
        <v>23</v>
      </c>
      <c r="H6" s="12" t="s">
        <v>24</v>
      </c>
      <c r="I6" s="13">
        <f ca="1">TODAY()</f>
        <v>45944</v>
      </c>
    </row>
    <row r="7" spans="2:18" ht="13.9" thickTop="1" thickBot="1">
      <c r="B7" s="77" t="s">
        <v>25</v>
      </c>
      <c r="C7" s="77"/>
      <c r="D7" s="77"/>
      <c r="H7" s="12" t="s">
        <v>26</v>
      </c>
      <c r="I7" s="14" t="s">
        <v>27</v>
      </c>
    </row>
    <row r="8" spans="2:18" ht="13.9" thickTop="1" thickBot="1">
      <c r="B8" s="78" t="s">
        <v>28</v>
      </c>
      <c r="C8" s="78"/>
      <c r="D8" s="78"/>
      <c r="H8" s="12" t="s">
        <v>29</v>
      </c>
      <c r="I8" s="15" t="s">
        <v>97</v>
      </c>
    </row>
    <row r="9" spans="2:18" ht="13.9" thickTop="1" thickBot="1">
      <c r="B9" s="78" t="s">
        <v>30</v>
      </c>
      <c r="C9" s="78"/>
      <c r="D9" s="78"/>
      <c r="H9" s="12" t="s">
        <v>31</v>
      </c>
      <c r="I9" s="16" t="s">
        <v>95</v>
      </c>
    </row>
    <row r="10" spans="2:18" ht="13.9" thickTop="1" thickBot="1">
      <c r="H10" s="12" t="s">
        <v>32</v>
      </c>
      <c r="I10" s="16" t="s">
        <v>96</v>
      </c>
    </row>
    <row r="11" spans="2:18" ht="13.9" thickTop="1" thickBot="1"/>
    <row r="12" spans="2:18" ht="27" thickTop="1" thickBot="1">
      <c r="B12" s="17" t="s">
        <v>1</v>
      </c>
      <c r="C12" s="17" t="s">
        <v>33</v>
      </c>
      <c r="D12" s="18" t="s">
        <v>34</v>
      </c>
      <c r="E12" s="18" t="s">
        <v>35</v>
      </c>
      <c r="F12" s="43" t="s">
        <v>243</v>
      </c>
      <c r="G12" s="18" t="s">
        <v>36</v>
      </c>
      <c r="H12" s="18" t="s">
        <v>37</v>
      </c>
      <c r="I12" s="18" t="s">
        <v>38</v>
      </c>
      <c r="J12" s="47" t="s">
        <v>264</v>
      </c>
      <c r="K12" s="47" t="s">
        <v>265</v>
      </c>
      <c r="L12" s="47" t="s">
        <v>266</v>
      </c>
      <c r="N12" s="52" t="s">
        <v>1</v>
      </c>
      <c r="O12" s="53" t="s">
        <v>273</v>
      </c>
      <c r="P12" s="53" t="s">
        <v>310</v>
      </c>
      <c r="Q12" s="53" t="s">
        <v>274</v>
      </c>
      <c r="R12" s="53" t="s">
        <v>311</v>
      </c>
    </row>
    <row r="13" spans="2:18" ht="17.649999999999999" thickTop="1" thickBot="1">
      <c r="B13" s="19">
        <v>1</v>
      </c>
      <c r="C13" s="19" t="s">
        <v>0</v>
      </c>
      <c r="D13" s="20" t="s">
        <v>48</v>
      </c>
      <c r="E13" s="21">
        <v>150</v>
      </c>
      <c r="F13" s="44"/>
      <c r="G13" s="22">
        <v>1</v>
      </c>
      <c r="H13" s="23">
        <f>E13*G13</f>
        <v>150</v>
      </c>
      <c r="I13" s="20" t="s">
        <v>51</v>
      </c>
      <c r="J13" s="31">
        <f t="shared" ref="J13:J21" si="0">ROUND($E13,2)</f>
        <v>150</v>
      </c>
      <c r="K13" s="31">
        <f t="shared" ref="K13:K21" si="1">J13*$G13</f>
        <v>150</v>
      </c>
      <c r="L13" s="31">
        <f t="shared" ref="L13:L21" si="2">K13-$H13</f>
        <v>0</v>
      </c>
      <c r="N13" s="51">
        <v>1</v>
      </c>
      <c r="O13" s="54" t="s">
        <v>276</v>
      </c>
      <c r="P13" s="54" t="s">
        <v>343</v>
      </c>
      <c r="Q13" s="55" t="s">
        <v>344</v>
      </c>
      <c r="R13" s="54" t="s">
        <v>345</v>
      </c>
    </row>
    <row r="14" spans="2:18" ht="17.649999999999999" thickTop="1" thickBot="1">
      <c r="B14" s="19">
        <v>2</v>
      </c>
      <c r="C14" s="19" t="s">
        <v>0</v>
      </c>
      <c r="D14" s="20" t="s">
        <v>49</v>
      </c>
      <c r="E14" s="21">
        <v>150</v>
      </c>
      <c r="F14" s="44"/>
      <c r="G14" s="22">
        <v>1</v>
      </c>
      <c r="H14" s="23">
        <f>E14*G14</f>
        <v>150</v>
      </c>
      <c r="I14" s="20" t="s">
        <v>51</v>
      </c>
      <c r="J14" s="31">
        <f t="shared" si="0"/>
        <v>150</v>
      </c>
      <c r="K14" s="31">
        <f t="shared" si="1"/>
        <v>150</v>
      </c>
      <c r="L14" s="31">
        <f t="shared" si="2"/>
        <v>0</v>
      </c>
      <c r="N14" s="51">
        <v>2</v>
      </c>
      <c r="O14" s="54" t="s">
        <v>276</v>
      </c>
      <c r="P14" s="54" t="s">
        <v>346</v>
      </c>
      <c r="Q14" s="54" t="s">
        <v>347</v>
      </c>
      <c r="R14" s="54" t="s">
        <v>348</v>
      </c>
    </row>
    <row r="15" spans="2:18" ht="17.649999999999999" thickTop="1" thickBot="1">
      <c r="B15" s="19">
        <v>3</v>
      </c>
      <c r="C15" s="19" t="s">
        <v>0</v>
      </c>
      <c r="D15" s="20" t="s">
        <v>98</v>
      </c>
      <c r="E15" s="21">
        <v>479</v>
      </c>
      <c r="F15" s="44"/>
      <c r="G15" s="22">
        <v>1</v>
      </c>
      <c r="H15" s="23">
        <f t="shared" ref="H15:H26" si="3">E15*G15</f>
        <v>479</v>
      </c>
      <c r="I15" s="20" t="s">
        <v>51</v>
      </c>
      <c r="J15" s="31">
        <f t="shared" si="0"/>
        <v>479</v>
      </c>
      <c r="K15" s="31">
        <f t="shared" si="1"/>
        <v>479</v>
      </c>
      <c r="L15" s="31">
        <f t="shared" si="2"/>
        <v>0</v>
      </c>
      <c r="N15" s="51">
        <v>3</v>
      </c>
      <c r="O15" s="54" t="s">
        <v>276</v>
      </c>
      <c r="P15" s="54" t="s">
        <v>349</v>
      </c>
      <c r="Q15" s="55" t="s">
        <v>350</v>
      </c>
      <c r="R15" s="54" t="s">
        <v>351</v>
      </c>
    </row>
    <row r="16" spans="2:18" ht="34.5" thickTop="1" thickBot="1">
      <c r="B16" s="19">
        <v>4</v>
      </c>
      <c r="C16" s="19" t="s">
        <v>0</v>
      </c>
      <c r="D16" s="20" t="s">
        <v>99</v>
      </c>
      <c r="E16" s="21">
        <v>252</v>
      </c>
      <c r="F16" s="44"/>
      <c r="G16" s="22">
        <v>1</v>
      </c>
      <c r="H16" s="23">
        <f t="shared" si="3"/>
        <v>252</v>
      </c>
      <c r="I16" s="20" t="s">
        <v>51</v>
      </c>
      <c r="J16" s="31">
        <f t="shared" si="0"/>
        <v>252</v>
      </c>
      <c r="K16" s="31">
        <f t="shared" si="1"/>
        <v>252</v>
      </c>
      <c r="L16" s="31">
        <f t="shared" si="2"/>
        <v>0</v>
      </c>
      <c r="N16" s="51">
        <v>4</v>
      </c>
      <c r="O16" s="54" t="s">
        <v>276</v>
      </c>
      <c r="P16" s="54" t="s">
        <v>333</v>
      </c>
      <c r="Q16" s="55" t="s">
        <v>352</v>
      </c>
      <c r="R16" s="54" t="s">
        <v>353</v>
      </c>
    </row>
    <row r="17" spans="1:18" ht="34.5" thickTop="1" thickBot="1">
      <c r="B17" s="19">
        <v>5</v>
      </c>
      <c r="C17" s="19" t="s">
        <v>41</v>
      </c>
      <c r="D17" s="20" t="s">
        <v>100</v>
      </c>
      <c r="E17" s="21">
        <f>29.38/3.6725</f>
        <v>8</v>
      </c>
      <c r="F17" s="45" t="s">
        <v>253</v>
      </c>
      <c r="G17" s="22">
        <v>1</v>
      </c>
      <c r="H17" s="23">
        <f t="shared" si="3"/>
        <v>8</v>
      </c>
      <c r="I17" s="20" t="s">
        <v>51</v>
      </c>
      <c r="J17" s="31">
        <f t="shared" si="0"/>
        <v>8</v>
      </c>
      <c r="K17" s="31">
        <f t="shared" si="1"/>
        <v>8</v>
      </c>
      <c r="L17" s="31">
        <f t="shared" si="2"/>
        <v>0</v>
      </c>
      <c r="M17" s="24"/>
      <c r="N17" s="51">
        <v>5</v>
      </c>
      <c r="O17" s="54" t="s">
        <v>276</v>
      </c>
      <c r="P17" s="54">
        <f>29.38/3.6725</f>
        <v>8</v>
      </c>
      <c r="Q17" s="55" t="s">
        <v>354</v>
      </c>
      <c r="R17" s="54" t="s">
        <v>355</v>
      </c>
    </row>
    <row r="18" spans="1:18" ht="17.649999999999999" thickTop="1" thickBot="1">
      <c r="B18" s="19">
        <v>6</v>
      </c>
      <c r="C18" s="19" t="s">
        <v>41</v>
      </c>
      <c r="D18" s="20" t="s">
        <v>101</v>
      </c>
      <c r="E18" s="21">
        <f>130/3.6725</f>
        <v>35.398230088495573</v>
      </c>
      <c r="F18" s="45" t="s">
        <v>254</v>
      </c>
      <c r="G18" s="22">
        <v>1</v>
      </c>
      <c r="H18" s="23">
        <f t="shared" si="3"/>
        <v>35.398230088495573</v>
      </c>
      <c r="I18" s="20" t="s">
        <v>51</v>
      </c>
      <c r="J18" s="31">
        <f t="shared" si="0"/>
        <v>35.4</v>
      </c>
      <c r="K18" s="31">
        <f t="shared" si="1"/>
        <v>35.4</v>
      </c>
      <c r="L18" s="31">
        <f t="shared" si="2"/>
        <v>1.7699115044251812E-3</v>
      </c>
      <c r="M18" s="24"/>
      <c r="N18" s="51">
        <v>6</v>
      </c>
      <c r="O18" s="54" t="s">
        <v>276</v>
      </c>
      <c r="P18" s="54">
        <f>130/3.6725</f>
        <v>35.398230088495573</v>
      </c>
      <c r="Q18" s="55" t="s">
        <v>356</v>
      </c>
      <c r="R18" s="54" t="s">
        <v>357</v>
      </c>
    </row>
    <row r="19" spans="1:18" s="34" customFormat="1" ht="17.649999999999999" thickTop="1" thickBot="1">
      <c r="B19" s="3">
        <v>7</v>
      </c>
      <c r="C19" s="19" t="s">
        <v>41</v>
      </c>
      <c r="D19" s="28" t="s">
        <v>102</v>
      </c>
      <c r="E19" s="35">
        <f>35/3.6725</f>
        <v>9.5302927161334239</v>
      </c>
      <c r="F19" s="46" t="s">
        <v>252</v>
      </c>
      <c r="G19" s="36">
        <v>1</v>
      </c>
      <c r="H19" s="37">
        <f t="shared" si="3"/>
        <v>9.5302927161334239</v>
      </c>
      <c r="I19" s="20" t="s">
        <v>51</v>
      </c>
      <c r="J19" s="48">
        <f t="shared" si="0"/>
        <v>9.5299999999999994</v>
      </c>
      <c r="K19" s="48">
        <f t="shared" si="1"/>
        <v>9.5299999999999994</v>
      </c>
      <c r="L19" s="48">
        <f t="shared" si="2"/>
        <v>-2.9271613342451985E-4</v>
      </c>
      <c r="N19" s="51">
        <v>7</v>
      </c>
      <c r="O19" s="54" t="s">
        <v>276</v>
      </c>
      <c r="P19" s="54">
        <f>35/3.6725</f>
        <v>9.5302927161334239</v>
      </c>
      <c r="Q19" s="55" t="s">
        <v>358</v>
      </c>
      <c r="R19" s="54" t="s">
        <v>359</v>
      </c>
    </row>
    <row r="20" spans="1:18" ht="34.5" thickTop="1" thickBot="1">
      <c r="B20" s="19">
        <v>8</v>
      </c>
      <c r="C20" s="19" t="s">
        <v>41</v>
      </c>
      <c r="D20" s="20" t="s">
        <v>103</v>
      </c>
      <c r="E20" s="21">
        <f>25/3.6725</f>
        <v>6.8073519400953035</v>
      </c>
      <c r="F20" s="45" t="s">
        <v>245</v>
      </c>
      <c r="G20" s="22">
        <v>1</v>
      </c>
      <c r="H20" s="23">
        <f t="shared" si="3"/>
        <v>6.8073519400953035</v>
      </c>
      <c r="I20" s="20" t="s">
        <v>51</v>
      </c>
      <c r="J20" s="31">
        <f t="shared" si="0"/>
        <v>6.81</v>
      </c>
      <c r="K20" s="31">
        <f t="shared" si="1"/>
        <v>6.81</v>
      </c>
      <c r="L20" s="31">
        <f t="shared" si="2"/>
        <v>2.6480599046960762E-3</v>
      </c>
      <c r="N20" s="51">
        <v>8</v>
      </c>
      <c r="O20" s="54" t="s">
        <v>276</v>
      </c>
      <c r="P20" s="54">
        <f>25/3.6725</f>
        <v>6.8073519400953035</v>
      </c>
      <c r="Q20" s="55" t="s">
        <v>360</v>
      </c>
      <c r="R20" s="54" t="s">
        <v>361</v>
      </c>
    </row>
    <row r="21" spans="1:18" ht="17.649999999999999" thickTop="1" thickBot="1">
      <c r="B21" s="19">
        <v>9</v>
      </c>
      <c r="C21" s="19" t="s">
        <v>41</v>
      </c>
      <c r="D21" s="20" t="s">
        <v>104</v>
      </c>
      <c r="E21" s="21">
        <f>80/3.6725</f>
        <v>21.78352620830497</v>
      </c>
      <c r="F21" s="45" t="s">
        <v>248</v>
      </c>
      <c r="G21" s="22">
        <v>1</v>
      </c>
      <c r="H21" s="23">
        <f t="shared" si="3"/>
        <v>21.78352620830497</v>
      </c>
      <c r="I21" s="20" t="s">
        <v>51</v>
      </c>
      <c r="J21" s="31">
        <f t="shared" si="0"/>
        <v>21.78</v>
      </c>
      <c r="K21" s="31">
        <f t="shared" si="1"/>
        <v>21.78</v>
      </c>
      <c r="L21" s="31">
        <f t="shared" si="2"/>
        <v>-3.5262083049687476E-3</v>
      </c>
      <c r="N21" s="51">
        <v>9</v>
      </c>
      <c r="O21" s="54" t="s">
        <v>276</v>
      </c>
      <c r="P21" s="54">
        <f>80/3.6725</f>
        <v>21.78352620830497</v>
      </c>
      <c r="Q21" s="55" t="s">
        <v>362</v>
      </c>
      <c r="R21" s="54" t="s">
        <v>363</v>
      </c>
    </row>
    <row r="22" spans="1:18" ht="13.9" thickTop="1" thickBot="1">
      <c r="B22" s="19"/>
      <c r="C22" s="19"/>
      <c r="D22" s="20" t="s">
        <v>43</v>
      </c>
      <c r="E22" s="21"/>
      <c r="F22" s="41"/>
      <c r="G22" s="22"/>
      <c r="H22" s="23">
        <f t="shared" si="3"/>
        <v>0</v>
      </c>
      <c r="I22" s="20"/>
      <c r="J22" s="31"/>
      <c r="K22" s="31"/>
      <c r="L22" s="31"/>
    </row>
    <row r="23" spans="1:18" ht="13.9" thickTop="1" thickBot="1">
      <c r="B23" s="19"/>
      <c r="C23" s="19"/>
      <c r="D23" s="20"/>
      <c r="E23" s="21"/>
      <c r="F23" s="41"/>
      <c r="G23" s="22"/>
      <c r="H23" s="23">
        <f t="shared" si="3"/>
        <v>0</v>
      </c>
      <c r="I23" s="20"/>
      <c r="J23" s="31"/>
      <c r="K23" s="31"/>
      <c r="L23" s="31"/>
    </row>
    <row r="24" spans="1:18" ht="13.9" thickTop="1" thickBot="1">
      <c r="B24" s="19"/>
      <c r="C24" s="19"/>
      <c r="D24" s="20"/>
      <c r="E24" s="21"/>
      <c r="F24" s="41"/>
      <c r="G24" s="22"/>
      <c r="H24" s="23">
        <f t="shared" si="3"/>
        <v>0</v>
      </c>
      <c r="I24" s="20"/>
      <c r="J24" s="31"/>
      <c r="K24" s="31"/>
      <c r="L24" s="31"/>
    </row>
    <row r="25" spans="1:18" ht="13.9" thickTop="1" thickBot="1">
      <c r="B25" s="19"/>
      <c r="C25" s="19"/>
      <c r="D25" s="20"/>
      <c r="E25" s="21"/>
      <c r="F25" s="41"/>
      <c r="G25" s="22"/>
      <c r="H25" s="23">
        <f t="shared" si="3"/>
        <v>0</v>
      </c>
      <c r="I25" s="20"/>
      <c r="J25" s="31"/>
      <c r="K25" s="31"/>
      <c r="L25" s="31"/>
    </row>
    <row r="26" spans="1:18" ht="13.9" thickTop="1" thickBot="1">
      <c r="B26" s="19"/>
      <c r="C26" s="19"/>
      <c r="D26" s="20"/>
      <c r="E26" s="21"/>
      <c r="F26" s="41"/>
      <c r="G26" s="22"/>
      <c r="H26" s="23">
        <f t="shared" si="3"/>
        <v>0</v>
      </c>
      <c r="I26" s="20"/>
      <c r="J26" s="31"/>
      <c r="K26" s="31"/>
      <c r="L26" s="31"/>
    </row>
    <row r="27" spans="1:18" s="29" customFormat="1" ht="13.9" thickTop="1" thickBot="1">
      <c r="A27" s="11"/>
      <c r="B27" s="25"/>
      <c r="C27" s="25"/>
      <c r="D27" s="26"/>
      <c r="E27" s="27"/>
      <c r="F27" s="27"/>
      <c r="G27" s="25"/>
      <c r="H27" s="23"/>
      <c r="I27" s="28"/>
      <c r="J27" s="49"/>
      <c r="K27" s="49"/>
      <c r="L27" s="49"/>
    </row>
    <row r="28" spans="1:18" ht="13.9" thickTop="1" thickBot="1">
      <c r="B28" s="79" t="s">
        <v>39</v>
      </c>
      <c r="C28" s="79"/>
      <c r="D28" s="79"/>
      <c r="E28" s="79"/>
      <c r="F28" s="79"/>
      <c r="G28" s="79"/>
      <c r="H28" s="30">
        <f>SUM(H13:H27)</f>
        <v>1112.5194009530292</v>
      </c>
      <c r="J28" s="31"/>
      <c r="K28" s="50">
        <f>SUM(K$13:K27)</f>
        <v>1112.52</v>
      </c>
      <c r="L28" s="50">
        <f>SUM(L$13:L27)</f>
        <v>5.9904697072798996E-4</v>
      </c>
    </row>
    <row r="29" spans="1:18" ht="13.5" thickTop="1"/>
    <row r="30" spans="1:18">
      <c r="G30" s="11" t="s">
        <v>40</v>
      </c>
      <c r="H30" s="24">
        <f>H28*3.6725</f>
        <v>4085.7274999999995</v>
      </c>
    </row>
  </sheetData>
  <mergeCells count="4">
    <mergeCell ref="B7:D7"/>
    <mergeCell ref="B8:D8"/>
    <mergeCell ref="B9:D9"/>
    <mergeCell ref="B28:G28"/>
  </mergeCells>
  <phoneticPr fontId="3" type="noConversion"/>
  <hyperlinks>
    <hyperlink ref="I8" location="SEPT!A1" display="BAMF0017824" xr:uid="{4257E00A-CB76-4C53-B8EF-17601AE15FE8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45D28-03EA-481B-A73F-08AAC8F5D404}">
  <sheetPr codeName="Sheet120">
    <tabColor rgb="FF92D050"/>
  </sheetPr>
  <dimension ref="A5:R28"/>
  <sheetViews>
    <sheetView topLeftCell="E1" zoomScaleNormal="100" workbookViewId="0">
      <selection activeCell="P11" sqref="P11"/>
    </sheetView>
  </sheetViews>
  <sheetFormatPr defaultColWidth="9.125" defaultRowHeight="13.15"/>
  <cols>
    <col min="1" max="1" width="9.125" style="11"/>
    <col min="2" max="2" width="5.875" style="11" bestFit="1" customWidth="1"/>
    <col min="3" max="3" width="13.6875" style="11" bestFit="1" customWidth="1"/>
    <col min="4" max="4" width="70.375" style="11" bestFit="1" customWidth="1"/>
    <col min="5" max="5" width="8.375" style="11" bestFit="1" customWidth="1"/>
    <col min="6" max="6" width="11.375" style="11" bestFit="1" customWidth="1"/>
    <col min="7" max="7" width="5.125" style="11" bestFit="1" customWidth="1"/>
    <col min="8" max="8" width="17.375" style="11" bestFit="1" customWidth="1"/>
    <col min="9" max="9" width="25.6875" style="11" bestFit="1" customWidth="1"/>
    <col min="10" max="10" width="9.6875" style="11" bestFit="1" customWidth="1"/>
    <col min="11" max="11" width="10.875" style="11" bestFit="1" customWidth="1"/>
    <col min="12" max="12" width="12.125" style="11" bestFit="1" customWidth="1"/>
    <col min="13" max="13" width="10.125" style="11" bestFit="1" customWidth="1"/>
    <col min="14" max="15" width="10.6875" style="11" customWidth="1"/>
    <col min="16" max="17" width="80.6875" style="11" customWidth="1"/>
    <col min="18" max="18" width="110.6875" style="11" customWidth="1"/>
    <col min="19" max="16384" width="9.125" style="11"/>
  </cols>
  <sheetData>
    <row r="5" spans="2:18" ht="13.5" thickBot="1"/>
    <row r="6" spans="2:18" ht="13.9" thickTop="1" thickBot="1">
      <c r="B6" s="11" t="s">
        <v>23</v>
      </c>
      <c r="H6" s="12" t="s">
        <v>24</v>
      </c>
      <c r="I6" s="13">
        <f ca="1">TODAY()</f>
        <v>45944</v>
      </c>
    </row>
    <row r="7" spans="2:18" ht="13.9" thickTop="1" thickBot="1">
      <c r="B7" s="77" t="s">
        <v>25</v>
      </c>
      <c r="C7" s="77"/>
      <c r="D7" s="77"/>
      <c r="H7" s="12" t="s">
        <v>26</v>
      </c>
      <c r="I7" s="14" t="s">
        <v>27</v>
      </c>
    </row>
    <row r="8" spans="2:18" ht="13.9" thickTop="1" thickBot="1">
      <c r="B8" s="78" t="s">
        <v>28</v>
      </c>
      <c r="C8" s="78"/>
      <c r="D8" s="78"/>
      <c r="H8" s="12" t="s">
        <v>29</v>
      </c>
      <c r="I8" s="15" t="s">
        <v>123</v>
      </c>
    </row>
    <row r="9" spans="2:18" ht="13.9" thickTop="1" thickBot="1">
      <c r="B9" s="78" t="s">
        <v>30</v>
      </c>
      <c r="C9" s="78"/>
      <c r="D9" s="78"/>
      <c r="H9" s="12" t="s">
        <v>31</v>
      </c>
      <c r="I9" s="16" t="s">
        <v>121</v>
      </c>
    </row>
    <row r="10" spans="2:18" ht="13.9" thickTop="1" thickBot="1">
      <c r="H10" s="12" t="s">
        <v>32</v>
      </c>
      <c r="I10" s="16" t="s">
        <v>122</v>
      </c>
    </row>
    <row r="11" spans="2:18" ht="13.9" thickTop="1" thickBot="1"/>
    <row r="12" spans="2:18" ht="17.649999999999999" thickTop="1" thickBot="1">
      <c r="B12" s="17" t="s">
        <v>1</v>
      </c>
      <c r="C12" s="17" t="s">
        <v>33</v>
      </c>
      <c r="D12" s="18" t="s">
        <v>34</v>
      </c>
      <c r="E12" s="18" t="s">
        <v>35</v>
      </c>
      <c r="F12" s="43" t="s">
        <v>243</v>
      </c>
      <c r="G12" s="18" t="s">
        <v>36</v>
      </c>
      <c r="H12" s="18" t="s">
        <v>37</v>
      </c>
      <c r="I12" s="18" t="s">
        <v>38</v>
      </c>
      <c r="J12" s="47" t="s">
        <v>264</v>
      </c>
      <c r="K12" s="47" t="s">
        <v>265</v>
      </c>
      <c r="L12" s="47" t="s">
        <v>266</v>
      </c>
      <c r="N12" s="52" t="s">
        <v>1</v>
      </c>
      <c r="O12" s="53" t="s">
        <v>273</v>
      </c>
      <c r="P12" s="53" t="s">
        <v>310</v>
      </c>
      <c r="Q12" s="53" t="s">
        <v>274</v>
      </c>
      <c r="R12" s="53" t="s">
        <v>311</v>
      </c>
    </row>
    <row r="13" spans="2:18" ht="17.649999999999999" thickTop="1" thickBot="1">
      <c r="B13" s="19">
        <v>1</v>
      </c>
      <c r="C13" s="19" t="s">
        <v>0</v>
      </c>
      <c r="D13" s="20" t="s">
        <v>48</v>
      </c>
      <c r="E13" s="21">
        <v>80</v>
      </c>
      <c r="F13" s="44"/>
      <c r="G13" s="22">
        <v>1</v>
      </c>
      <c r="H13" s="23">
        <f>E13*G13</f>
        <v>80</v>
      </c>
      <c r="I13" s="20" t="s">
        <v>51</v>
      </c>
      <c r="J13" s="31">
        <f t="shared" ref="J13:J19" si="0">ROUND($E13,2)</f>
        <v>80</v>
      </c>
      <c r="K13" s="31">
        <f t="shared" ref="K13:K19" si="1">J13*$G13</f>
        <v>80</v>
      </c>
      <c r="L13" s="31">
        <f t="shared" ref="L13:L19" si="2">K13-$H13</f>
        <v>0</v>
      </c>
      <c r="N13" s="51">
        <v>1</v>
      </c>
      <c r="O13" s="54" t="s">
        <v>276</v>
      </c>
      <c r="P13" s="54" t="s">
        <v>325</v>
      </c>
      <c r="Q13" s="55" t="s">
        <v>326</v>
      </c>
      <c r="R13" s="54"/>
    </row>
    <row r="14" spans="2:18" ht="34.5" thickTop="1" thickBot="1">
      <c r="B14" s="19">
        <v>2</v>
      </c>
      <c r="C14" s="19" t="s">
        <v>0</v>
      </c>
      <c r="D14" s="20" t="s">
        <v>49</v>
      </c>
      <c r="E14" s="21">
        <v>150</v>
      </c>
      <c r="F14" s="44"/>
      <c r="G14" s="22">
        <v>1</v>
      </c>
      <c r="H14" s="23">
        <f>E14*G14</f>
        <v>150</v>
      </c>
      <c r="I14" s="20" t="s">
        <v>51</v>
      </c>
      <c r="J14" s="31">
        <f t="shared" si="0"/>
        <v>150</v>
      </c>
      <c r="K14" s="31">
        <f t="shared" si="1"/>
        <v>150</v>
      </c>
      <c r="L14" s="31">
        <f t="shared" si="2"/>
        <v>0</v>
      </c>
      <c r="N14" s="51">
        <v>2</v>
      </c>
      <c r="O14" s="54" t="s">
        <v>276</v>
      </c>
      <c r="P14" s="54" t="s">
        <v>327</v>
      </c>
      <c r="Q14" s="55" t="s">
        <v>328</v>
      </c>
      <c r="R14" s="54" t="s">
        <v>329</v>
      </c>
    </row>
    <row r="15" spans="2:18" ht="17.649999999999999" thickTop="1" thickBot="1">
      <c r="B15" s="19">
        <v>3</v>
      </c>
      <c r="C15" s="19" t="s">
        <v>0</v>
      </c>
      <c r="D15" s="20" t="s">
        <v>73</v>
      </c>
      <c r="E15" s="21">
        <v>0.55000000000000004</v>
      </c>
      <c r="F15" s="44"/>
      <c r="G15" s="22">
        <v>2178</v>
      </c>
      <c r="H15" s="23">
        <f t="shared" ref="H15:H24" si="3">E15*G15</f>
        <v>1197.9000000000001</v>
      </c>
      <c r="I15" s="20" t="s">
        <v>51</v>
      </c>
      <c r="J15" s="31">
        <f t="shared" si="0"/>
        <v>0.55000000000000004</v>
      </c>
      <c r="K15" s="31">
        <f t="shared" si="1"/>
        <v>1197.9000000000001</v>
      </c>
      <c r="L15" s="31">
        <f t="shared" si="2"/>
        <v>0</v>
      </c>
      <c r="N15" s="51">
        <v>3</v>
      </c>
      <c r="O15" s="54" t="s">
        <v>276</v>
      </c>
      <c r="P15" s="54" t="s">
        <v>330</v>
      </c>
      <c r="Q15" s="55" t="s">
        <v>331</v>
      </c>
      <c r="R15" s="54" t="s">
        <v>332</v>
      </c>
    </row>
    <row r="16" spans="2:18" ht="34.5" thickTop="1" thickBot="1">
      <c r="B16" s="19">
        <v>4</v>
      </c>
      <c r="C16" s="19" t="s">
        <v>0</v>
      </c>
      <c r="D16" s="20" t="s">
        <v>117</v>
      </c>
      <c r="E16" s="21">
        <v>100</v>
      </c>
      <c r="F16" s="44"/>
      <c r="G16" s="22">
        <v>1</v>
      </c>
      <c r="H16" s="23">
        <f t="shared" si="3"/>
        <v>100</v>
      </c>
      <c r="I16" s="20" t="s">
        <v>51</v>
      </c>
      <c r="J16" s="31">
        <f t="shared" si="0"/>
        <v>100</v>
      </c>
      <c r="K16" s="31">
        <f t="shared" si="1"/>
        <v>100</v>
      </c>
      <c r="L16" s="31">
        <f t="shared" si="2"/>
        <v>0</v>
      </c>
      <c r="N16" s="51">
        <v>4</v>
      </c>
      <c r="O16" s="54" t="s">
        <v>276</v>
      </c>
      <c r="P16" s="54" t="s">
        <v>333</v>
      </c>
      <c r="Q16" s="55" t="s">
        <v>334</v>
      </c>
      <c r="R16" s="54" t="s">
        <v>335</v>
      </c>
    </row>
    <row r="17" spans="1:18" ht="34.5" thickTop="1" thickBot="1">
      <c r="B17" s="19">
        <v>5</v>
      </c>
      <c r="C17" s="19" t="s">
        <v>0</v>
      </c>
      <c r="D17" s="20" t="s">
        <v>118</v>
      </c>
      <c r="E17" s="21">
        <f>(420/2)+600</f>
        <v>810</v>
      </c>
      <c r="F17" s="45" t="s">
        <v>255</v>
      </c>
      <c r="G17" s="22">
        <v>1</v>
      </c>
      <c r="H17" s="23">
        <f t="shared" si="3"/>
        <v>810</v>
      </c>
      <c r="I17" s="20" t="s">
        <v>51</v>
      </c>
      <c r="J17" s="31">
        <f t="shared" si="0"/>
        <v>810</v>
      </c>
      <c r="K17" s="31">
        <f t="shared" si="1"/>
        <v>810</v>
      </c>
      <c r="L17" s="31">
        <f t="shared" si="2"/>
        <v>0</v>
      </c>
      <c r="N17" s="51">
        <v>5</v>
      </c>
      <c r="O17" s="54" t="s">
        <v>276</v>
      </c>
      <c r="P17" s="54" t="s">
        <v>336</v>
      </c>
      <c r="Q17" s="55" t="s">
        <v>337</v>
      </c>
      <c r="R17" s="54" t="s">
        <v>338</v>
      </c>
    </row>
    <row r="18" spans="1:18" ht="17.649999999999999" thickTop="1" thickBot="1">
      <c r="B18" s="19">
        <v>6</v>
      </c>
      <c r="C18" s="19" t="s">
        <v>41</v>
      </c>
      <c r="D18" s="20" t="s">
        <v>119</v>
      </c>
      <c r="E18" s="21">
        <f>35/3.6725</f>
        <v>9.5302927161334239</v>
      </c>
      <c r="F18" s="45" t="s">
        <v>252</v>
      </c>
      <c r="G18" s="22">
        <v>1</v>
      </c>
      <c r="H18" s="23">
        <f>E18*G18</f>
        <v>9.5302927161334239</v>
      </c>
      <c r="I18" s="20" t="s">
        <v>51</v>
      </c>
      <c r="J18" s="31">
        <f t="shared" si="0"/>
        <v>9.5299999999999994</v>
      </c>
      <c r="K18" s="31">
        <f t="shared" si="1"/>
        <v>9.5299999999999994</v>
      </c>
      <c r="L18" s="31">
        <f t="shared" si="2"/>
        <v>-2.9271613342451985E-4</v>
      </c>
      <c r="M18" s="24"/>
      <c r="N18" s="51">
        <v>6</v>
      </c>
      <c r="O18" s="54" t="s">
        <v>276</v>
      </c>
      <c r="P18" s="54">
        <f>35/3.6725</f>
        <v>9.5302927161334239</v>
      </c>
      <c r="Q18" s="55" t="s">
        <v>339</v>
      </c>
      <c r="R18" s="54" t="s">
        <v>340</v>
      </c>
    </row>
    <row r="19" spans="1:18" ht="34.5" thickTop="1" thickBot="1">
      <c r="B19" s="19">
        <v>7</v>
      </c>
      <c r="C19" s="19" t="s">
        <v>41</v>
      </c>
      <c r="D19" s="20" t="s">
        <v>120</v>
      </c>
      <c r="E19" s="21">
        <f>27/3.6725</f>
        <v>7.3519400953029272</v>
      </c>
      <c r="F19" s="45" t="s">
        <v>251</v>
      </c>
      <c r="G19" s="22">
        <v>1</v>
      </c>
      <c r="H19" s="23">
        <f t="shared" si="3"/>
        <v>7.3519400953029272</v>
      </c>
      <c r="I19" s="20" t="s">
        <v>51</v>
      </c>
      <c r="J19" s="31">
        <f t="shared" si="0"/>
        <v>7.35</v>
      </c>
      <c r="K19" s="31">
        <f t="shared" si="1"/>
        <v>7.35</v>
      </c>
      <c r="L19" s="31">
        <f t="shared" si="2"/>
        <v>-1.9400953029276025E-3</v>
      </c>
      <c r="M19" s="24"/>
      <c r="N19" s="51">
        <v>7</v>
      </c>
      <c r="O19" s="54" t="s">
        <v>276</v>
      </c>
      <c r="P19" s="54">
        <f>27/3.6725</f>
        <v>7.3519400953029272</v>
      </c>
      <c r="Q19" s="55" t="s">
        <v>341</v>
      </c>
      <c r="R19" s="54" t="s">
        <v>342</v>
      </c>
    </row>
    <row r="20" spans="1:18" ht="13.9" thickTop="1" thickBot="1">
      <c r="B20" s="19"/>
      <c r="C20" s="19"/>
      <c r="D20" s="20" t="s">
        <v>43</v>
      </c>
      <c r="E20" s="21"/>
      <c r="F20" s="41"/>
      <c r="G20" s="22"/>
      <c r="H20" s="23">
        <f t="shared" si="3"/>
        <v>0</v>
      </c>
      <c r="I20" s="20"/>
      <c r="J20" s="31"/>
      <c r="K20" s="31"/>
      <c r="L20" s="31"/>
    </row>
    <row r="21" spans="1:18" ht="13.9" thickTop="1" thickBot="1">
      <c r="B21" s="19"/>
      <c r="C21" s="19"/>
      <c r="D21" s="20"/>
      <c r="E21" s="21"/>
      <c r="F21" s="41"/>
      <c r="G21" s="22"/>
      <c r="H21" s="23">
        <f t="shared" si="3"/>
        <v>0</v>
      </c>
      <c r="I21" s="20"/>
      <c r="J21" s="31"/>
      <c r="K21" s="31"/>
      <c r="L21" s="31"/>
    </row>
    <row r="22" spans="1:18" ht="13.9" thickTop="1" thickBot="1">
      <c r="B22" s="19"/>
      <c r="C22" s="19"/>
      <c r="D22" s="20"/>
      <c r="E22" s="21"/>
      <c r="F22" s="41"/>
      <c r="G22" s="22"/>
      <c r="H22" s="23">
        <f t="shared" si="3"/>
        <v>0</v>
      </c>
      <c r="I22" s="20"/>
      <c r="J22" s="31"/>
      <c r="K22" s="31"/>
      <c r="L22" s="31"/>
    </row>
    <row r="23" spans="1:18" ht="13.9" thickTop="1" thickBot="1">
      <c r="B23" s="19"/>
      <c r="C23" s="19"/>
      <c r="D23" s="20"/>
      <c r="E23" s="21"/>
      <c r="F23" s="41"/>
      <c r="G23" s="22"/>
      <c r="H23" s="23">
        <f t="shared" si="3"/>
        <v>0</v>
      </c>
      <c r="I23" s="20"/>
      <c r="J23" s="31"/>
      <c r="K23" s="31"/>
      <c r="L23" s="31"/>
    </row>
    <row r="24" spans="1:18" ht="13.9" thickTop="1" thickBot="1">
      <c r="B24" s="19"/>
      <c r="C24" s="19"/>
      <c r="D24" s="20"/>
      <c r="E24" s="21"/>
      <c r="F24" s="41"/>
      <c r="G24" s="22"/>
      <c r="H24" s="23">
        <f t="shared" si="3"/>
        <v>0</v>
      </c>
      <c r="I24" s="20"/>
      <c r="J24" s="31"/>
      <c r="K24" s="31"/>
      <c r="L24" s="31"/>
    </row>
    <row r="25" spans="1:18" s="29" customFormat="1" ht="13.9" thickTop="1" thickBot="1">
      <c r="A25" s="11"/>
      <c r="B25" s="25"/>
      <c r="C25" s="25"/>
      <c r="D25" s="26"/>
      <c r="E25" s="27"/>
      <c r="F25" s="27"/>
      <c r="G25" s="25"/>
      <c r="H25" s="23"/>
      <c r="I25" s="28"/>
      <c r="J25" s="49"/>
      <c r="K25" s="49"/>
      <c r="L25" s="49"/>
    </row>
    <row r="26" spans="1:18" ht="13.9" thickTop="1" thickBot="1">
      <c r="B26" s="79" t="s">
        <v>39</v>
      </c>
      <c r="C26" s="79"/>
      <c r="D26" s="79"/>
      <c r="E26" s="79"/>
      <c r="F26" s="79"/>
      <c r="G26" s="79"/>
      <c r="H26" s="30">
        <f>SUM(H13:H25)</f>
        <v>2354.7822328114362</v>
      </c>
      <c r="J26" s="31"/>
      <c r="K26" s="50">
        <f>SUM(K$13:K25)</f>
        <v>2354.7800000000002</v>
      </c>
      <c r="L26" s="50">
        <f>SUM(L$13:L25)</f>
        <v>-2.2328114363521223E-3</v>
      </c>
    </row>
    <row r="27" spans="1:18" ht="13.5" thickTop="1"/>
    <row r="28" spans="1:18">
      <c r="G28" s="11" t="s">
        <v>40</v>
      </c>
      <c r="H28" s="24">
        <f>H26*3.6725</f>
        <v>8647.9377499999991</v>
      </c>
    </row>
  </sheetData>
  <mergeCells count="4">
    <mergeCell ref="B7:D7"/>
    <mergeCell ref="B8:D8"/>
    <mergeCell ref="B9:D9"/>
    <mergeCell ref="B26:G26"/>
  </mergeCells>
  <phoneticPr fontId="3" type="noConversion"/>
  <hyperlinks>
    <hyperlink ref="I8" location="SEPT!A1" display="BAMF0017824" xr:uid="{9EA85F01-EA35-48D3-86B3-5B9E4DD48EEC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A3F0F-ECB7-4F08-8DC9-E9D678A41B6A}">
  <sheetPr codeName="Sheet109">
    <tabColor rgb="FF92D050"/>
  </sheetPr>
  <dimension ref="A5:L22"/>
  <sheetViews>
    <sheetView zoomScale="70" zoomScaleNormal="70" workbookViewId="0">
      <selection activeCell="F42" sqref="F42"/>
    </sheetView>
  </sheetViews>
  <sheetFormatPr defaultColWidth="9.125" defaultRowHeight="13.15"/>
  <cols>
    <col min="1" max="1" width="9.125" style="11"/>
    <col min="2" max="2" width="5.875" style="11" bestFit="1" customWidth="1"/>
    <col min="3" max="3" width="13.6875" style="11" bestFit="1" customWidth="1"/>
    <col min="4" max="4" width="24.625" style="11" bestFit="1" customWidth="1"/>
    <col min="5" max="5" width="8.375" style="11" bestFit="1" customWidth="1"/>
    <col min="6" max="6" width="7.875" style="11" bestFit="1" customWidth="1"/>
    <col min="7" max="7" width="5.125" style="11" bestFit="1" customWidth="1"/>
    <col min="8" max="8" width="17.375" style="11" bestFit="1" customWidth="1"/>
    <col min="9" max="9" width="25.6875" style="11" bestFit="1" customWidth="1"/>
    <col min="10" max="10" width="9.6875" style="11" bestFit="1" customWidth="1"/>
    <col min="11" max="11" width="10.875" style="11" bestFit="1" customWidth="1"/>
    <col min="12" max="12" width="12.125" style="11" bestFit="1" customWidth="1"/>
    <col min="13" max="13" width="10.125" style="11" bestFit="1" customWidth="1"/>
    <col min="14" max="15" width="10.6875" style="11" customWidth="1"/>
    <col min="16" max="17" width="80.6875" style="11" customWidth="1"/>
    <col min="18" max="18" width="110.6875" style="11" customWidth="1"/>
    <col min="19" max="16384" width="9.125" style="11"/>
  </cols>
  <sheetData>
    <row r="5" spans="2:12" ht="13.5" thickBot="1"/>
    <row r="6" spans="2:12" ht="13.9" thickTop="1" thickBot="1">
      <c r="B6" s="11" t="s">
        <v>23</v>
      </c>
      <c r="H6" s="12" t="s">
        <v>24</v>
      </c>
      <c r="I6" s="13">
        <f ca="1">TODAY()</f>
        <v>45944</v>
      </c>
    </row>
    <row r="7" spans="2:12" ht="13.9" thickTop="1" thickBot="1">
      <c r="B7" s="77" t="s">
        <v>25</v>
      </c>
      <c r="C7" s="77"/>
      <c r="D7" s="77"/>
      <c r="H7" s="12" t="s">
        <v>26</v>
      </c>
      <c r="I7" s="14" t="s">
        <v>27</v>
      </c>
    </row>
    <row r="8" spans="2:12" ht="13.9" thickTop="1" thickBot="1">
      <c r="B8" s="78" t="s">
        <v>28</v>
      </c>
      <c r="C8" s="78"/>
      <c r="D8" s="78"/>
      <c r="H8" s="12" t="s">
        <v>29</v>
      </c>
      <c r="I8" s="15" t="s">
        <v>78</v>
      </c>
    </row>
    <row r="9" spans="2:12" ht="13.9" thickTop="1" thickBot="1">
      <c r="B9" s="78" t="s">
        <v>30</v>
      </c>
      <c r="C9" s="78"/>
      <c r="D9" s="78"/>
      <c r="H9" s="12" t="s">
        <v>31</v>
      </c>
      <c r="I9" s="16" t="s">
        <v>77</v>
      </c>
    </row>
    <row r="10" spans="2:12" ht="13.9" thickTop="1" thickBot="1">
      <c r="H10" s="12" t="s">
        <v>32</v>
      </c>
      <c r="I10" s="16" t="s">
        <v>79</v>
      </c>
    </row>
    <row r="11" spans="2:12" ht="13.9" thickTop="1" thickBot="1"/>
    <row r="12" spans="2:12" ht="13.9" thickTop="1" thickBot="1">
      <c r="B12" s="17" t="s">
        <v>1</v>
      </c>
      <c r="C12" s="17" t="s">
        <v>33</v>
      </c>
      <c r="D12" s="18" t="s">
        <v>34</v>
      </c>
      <c r="E12" s="18" t="s">
        <v>35</v>
      </c>
      <c r="F12" s="43" t="s">
        <v>243</v>
      </c>
      <c r="G12" s="18" t="s">
        <v>36</v>
      </c>
      <c r="H12" s="18" t="s">
        <v>37</v>
      </c>
      <c r="I12" s="18" t="s">
        <v>38</v>
      </c>
      <c r="J12" s="47" t="s">
        <v>264</v>
      </c>
      <c r="K12" s="47" t="s">
        <v>265</v>
      </c>
      <c r="L12" s="47" t="s">
        <v>266</v>
      </c>
    </row>
    <row r="13" spans="2:12" ht="13.9" thickTop="1" thickBot="1">
      <c r="B13" s="19">
        <v>1</v>
      </c>
      <c r="C13" s="19" t="s">
        <v>0</v>
      </c>
      <c r="D13" s="20" t="s">
        <v>48</v>
      </c>
      <c r="E13" s="21">
        <v>150</v>
      </c>
      <c r="F13" s="44"/>
      <c r="G13" s="22">
        <v>1</v>
      </c>
      <c r="H13" s="23">
        <f>E13*G13</f>
        <v>150</v>
      </c>
      <c r="I13" s="20" t="s">
        <v>51</v>
      </c>
      <c r="J13" s="31">
        <f t="shared" ref="J13:J14" si="0">ROUND($E13,2)</f>
        <v>150</v>
      </c>
      <c r="K13" s="31">
        <f t="shared" ref="K13:K14" si="1">J13*$G13</f>
        <v>150</v>
      </c>
      <c r="L13" s="31">
        <f t="shared" ref="L13:L14" si="2">K13-$H13</f>
        <v>0</v>
      </c>
    </row>
    <row r="14" spans="2:12" ht="13.9" thickTop="1" thickBot="1">
      <c r="B14" s="19">
        <v>2</v>
      </c>
      <c r="C14" s="19" t="s">
        <v>0</v>
      </c>
      <c r="D14" s="20" t="s">
        <v>49</v>
      </c>
      <c r="E14" s="21">
        <v>150</v>
      </c>
      <c r="F14" s="44"/>
      <c r="G14" s="22">
        <v>1</v>
      </c>
      <c r="H14" s="23">
        <f>E14*G14</f>
        <v>150</v>
      </c>
      <c r="I14" s="20" t="s">
        <v>51</v>
      </c>
      <c r="J14" s="31">
        <f t="shared" si="0"/>
        <v>150</v>
      </c>
      <c r="K14" s="31">
        <f t="shared" si="1"/>
        <v>150</v>
      </c>
      <c r="L14" s="31">
        <f t="shared" si="2"/>
        <v>0</v>
      </c>
    </row>
    <row r="15" spans="2:12" ht="13.9" thickTop="1" thickBot="1">
      <c r="B15" s="19"/>
      <c r="C15" s="19"/>
      <c r="D15" s="20"/>
      <c r="E15" s="21"/>
      <c r="F15" s="41"/>
      <c r="G15" s="22"/>
      <c r="H15" s="23">
        <f t="shared" ref="H15:H18" si="3">E15*G15</f>
        <v>0</v>
      </c>
      <c r="I15" s="20"/>
      <c r="J15" s="31"/>
      <c r="K15" s="31"/>
      <c r="L15" s="31"/>
    </row>
    <row r="16" spans="2:12" ht="13.9" thickTop="1" thickBot="1">
      <c r="B16" s="19"/>
      <c r="C16" s="19"/>
      <c r="D16" s="20"/>
      <c r="E16" s="21"/>
      <c r="F16" s="41"/>
      <c r="G16" s="22"/>
      <c r="H16" s="23">
        <f t="shared" si="3"/>
        <v>0</v>
      </c>
      <c r="I16" s="20"/>
      <c r="J16" s="31"/>
      <c r="K16" s="31"/>
      <c r="L16" s="31"/>
    </row>
    <row r="17" spans="1:12" ht="13.9" thickTop="1" thickBot="1">
      <c r="B17" s="19"/>
      <c r="C17" s="19"/>
      <c r="D17" s="20"/>
      <c r="E17" s="21"/>
      <c r="F17" s="41"/>
      <c r="G17" s="22"/>
      <c r="H17" s="23">
        <f t="shared" si="3"/>
        <v>0</v>
      </c>
      <c r="I17" s="20"/>
      <c r="J17" s="31"/>
      <c r="K17" s="31"/>
      <c r="L17" s="31"/>
    </row>
    <row r="18" spans="1:12" ht="13.9" thickTop="1" thickBot="1">
      <c r="B18" s="19"/>
      <c r="C18" s="19"/>
      <c r="D18" s="20"/>
      <c r="E18" s="21"/>
      <c r="F18" s="41"/>
      <c r="G18" s="22"/>
      <c r="H18" s="23">
        <f t="shared" si="3"/>
        <v>0</v>
      </c>
      <c r="I18" s="20"/>
      <c r="J18" s="31"/>
      <c r="K18" s="31"/>
      <c r="L18" s="31"/>
    </row>
    <row r="19" spans="1:12" s="29" customFormat="1" ht="13.9" thickTop="1" thickBot="1">
      <c r="A19" s="11"/>
      <c r="B19" s="25"/>
      <c r="C19" s="25"/>
      <c r="D19" s="26"/>
      <c r="E19" s="27"/>
      <c r="F19" s="27"/>
      <c r="G19" s="25"/>
      <c r="H19" s="23"/>
      <c r="I19" s="28"/>
      <c r="J19" s="49"/>
      <c r="K19" s="49"/>
      <c r="L19" s="49"/>
    </row>
    <row r="20" spans="1:12" ht="13.9" thickTop="1" thickBot="1">
      <c r="B20" s="79" t="s">
        <v>39</v>
      </c>
      <c r="C20" s="79"/>
      <c r="D20" s="79"/>
      <c r="E20" s="79"/>
      <c r="F20" s="79"/>
      <c r="G20" s="79"/>
      <c r="H20" s="30">
        <f>SUM(H13:H19)</f>
        <v>300</v>
      </c>
      <c r="J20" s="31"/>
      <c r="K20" s="50">
        <f>SUM(K$13:K19)</f>
        <v>300</v>
      </c>
      <c r="L20" s="50">
        <f>SUM(L$13:L19)</f>
        <v>0</v>
      </c>
    </row>
    <row r="21" spans="1:12" ht="13.5" thickTop="1"/>
    <row r="22" spans="1:12">
      <c r="G22" s="11" t="s">
        <v>40</v>
      </c>
      <c r="H22" s="24">
        <f>H20*3.6725</f>
        <v>1101.75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E42C53E2-D8B4-42D4-A321-1B68456BC654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827D8-7CED-4343-8751-A3DDD3ED0C2D}">
  <sheetPr codeName="Sheet110">
    <tabColor rgb="FF92D050"/>
  </sheetPr>
  <dimension ref="A5:L22"/>
  <sheetViews>
    <sheetView zoomScaleNormal="100" workbookViewId="0">
      <selection activeCell="H8" sqref="H8"/>
    </sheetView>
  </sheetViews>
  <sheetFormatPr defaultColWidth="9.125" defaultRowHeight="13.15"/>
  <cols>
    <col min="1" max="1" width="9.125" style="11"/>
    <col min="2" max="2" width="5.875" style="11" bestFit="1" customWidth="1"/>
    <col min="3" max="3" width="13.6875" style="11" bestFit="1" customWidth="1"/>
    <col min="4" max="4" width="24.625" style="11" bestFit="1" customWidth="1"/>
    <col min="5" max="5" width="8.375" style="11" bestFit="1" customWidth="1"/>
    <col min="6" max="6" width="7.875" style="11" bestFit="1" customWidth="1"/>
    <col min="7" max="7" width="5.125" style="11" bestFit="1" customWidth="1"/>
    <col min="8" max="8" width="17.375" style="11" bestFit="1" customWidth="1"/>
    <col min="9" max="9" width="25.6875" style="11" bestFit="1" customWidth="1"/>
    <col min="10" max="10" width="9.6875" style="11" bestFit="1" customWidth="1"/>
    <col min="11" max="11" width="10.875" style="11" bestFit="1" customWidth="1"/>
    <col min="12" max="12" width="12.125" style="11" bestFit="1" customWidth="1"/>
    <col min="13" max="13" width="10.125" style="11" bestFit="1" customWidth="1"/>
    <col min="14" max="15" width="10.6875" style="11" customWidth="1"/>
    <col min="16" max="17" width="80.6875" style="11" customWidth="1"/>
    <col min="18" max="18" width="110.6875" style="11" customWidth="1"/>
    <col min="19" max="16384" width="9.125" style="11"/>
  </cols>
  <sheetData>
    <row r="5" spans="2:12" ht="13.5" thickBot="1"/>
    <row r="6" spans="2:12" ht="13.9" thickTop="1" thickBot="1">
      <c r="B6" s="11" t="s">
        <v>23</v>
      </c>
      <c r="H6" s="12" t="s">
        <v>24</v>
      </c>
      <c r="I6" s="13">
        <f ca="1">TODAY()</f>
        <v>45944</v>
      </c>
    </row>
    <row r="7" spans="2:12" ht="13.9" thickTop="1" thickBot="1">
      <c r="B7" s="77" t="s">
        <v>25</v>
      </c>
      <c r="C7" s="77"/>
      <c r="D7" s="77"/>
      <c r="H7" s="12" t="s">
        <v>26</v>
      </c>
      <c r="I7" s="14" t="s">
        <v>27</v>
      </c>
    </row>
    <row r="8" spans="2:12" ht="13.9" thickTop="1" thickBot="1">
      <c r="B8" s="78" t="s">
        <v>28</v>
      </c>
      <c r="C8" s="78"/>
      <c r="D8" s="78"/>
      <c r="H8" s="12" t="s">
        <v>29</v>
      </c>
      <c r="I8" s="15" t="s">
        <v>81</v>
      </c>
    </row>
    <row r="9" spans="2:12" ht="13.9" thickTop="1" thickBot="1">
      <c r="B9" s="78" t="s">
        <v>30</v>
      </c>
      <c r="C9" s="78"/>
      <c r="D9" s="78"/>
      <c r="H9" s="12" t="s">
        <v>31</v>
      </c>
      <c r="I9" s="16" t="s">
        <v>80</v>
      </c>
    </row>
    <row r="10" spans="2:12" ht="13.9" thickTop="1" thickBot="1">
      <c r="H10" s="12" t="s">
        <v>32</v>
      </c>
      <c r="I10" s="16" t="s">
        <v>82</v>
      </c>
    </row>
    <row r="11" spans="2:12" ht="13.9" thickTop="1" thickBot="1"/>
    <row r="12" spans="2:12" ht="13.9" thickTop="1" thickBot="1">
      <c r="B12" s="17" t="s">
        <v>1</v>
      </c>
      <c r="C12" s="17" t="s">
        <v>33</v>
      </c>
      <c r="D12" s="18" t="s">
        <v>34</v>
      </c>
      <c r="E12" s="18" t="s">
        <v>35</v>
      </c>
      <c r="F12" s="43" t="s">
        <v>243</v>
      </c>
      <c r="G12" s="18" t="s">
        <v>36</v>
      </c>
      <c r="H12" s="18" t="s">
        <v>37</v>
      </c>
      <c r="I12" s="18" t="s">
        <v>38</v>
      </c>
      <c r="J12" s="47" t="s">
        <v>264</v>
      </c>
      <c r="K12" s="47" t="s">
        <v>265</v>
      </c>
      <c r="L12" s="47" t="s">
        <v>266</v>
      </c>
    </row>
    <row r="13" spans="2:12" ht="13.9" thickTop="1" thickBot="1">
      <c r="B13" s="19">
        <v>1</v>
      </c>
      <c r="C13" s="19" t="s">
        <v>0</v>
      </c>
      <c r="D13" s="20" t="s">
        <v>48</v>
      </c>
      <c r="E13" s="21">
        <v>150</v>
      </c>
      <c r="F13" s="44"/>
      <c r="G13" s="22">
        <v>1</v>
      </c>
      <c r="H13" s="23">
        <f>E13*G13</f>
        <v>150</v>
      </c>
      <c r="I13" s="20" t="s">
        <v>51</v>
      </c>
      <c r="J13" s="31">
        <f t="shared" ref="J13:J14" si="0">ROUND($E13,2)</f>
        <v>150</v>
      </c>
      <c r="K13" s="31">
        <f t="shared" ref="K13:K14" si="1">J13*$G13</f>
        <v>150</v>
      </c>
      <c r="L13" s="31">
        <f t="shared" ref="L13:L14" si="2">K13-$H13</f>
        <v>0</v>
      </c>
    </row>
    <row r="14" spans="2:12" ht="13.9" thickTop="1" thickBot="1">
      <c r="B14" s="19">
        <v>2</v>
      </c>
      <c r="C14" s="19" t="s">
        <v>0</v>
      </c>
      <c r="D14" s="20" t="s">
        <v>49</v>
      </c>
      <c r="E14" s="21">
        <v>150</v>
      </c>
      <c r="F14" s="44"/>
      <c r="G14" s="22">
        <v>1</v>
      </c>
      <c r="H14" s="23">
        <f>E14*G14</f>
        <v>150</v>
      </c>
      <c r="I14" s="20" t="s">
        <v>51</v>
      </c>
      <c r="J14" s="31">
        <f t="shared" si="0"/>
        <v>150</v>
      </c>
      <c r="K14" s="31">
        <f t="shared" si="1"/>
        <v>150</v>
      </c>
      <c r="L14" s="31">
        <f t="shared" si="2"/>
        <v>0</v>
      </c>
    </row>
    <row r="15" spans="2:12" ht="13.9" thickTop="1" thickBot="1">
      <c r="B15" s="19"/>
      <c r="C15" s="19"/>
      <c r="D15" s="20"/>
      <c r="E15" s="21"/>
      <c r="F15" s="41"/>
      <c r="G15" s="22"/>
      <c r="H15" s="23">
        <f t="shared" ref="H15:H18" si="3">E15*G15</f>
        <v>0</v>
      </c>
      <c r="I15" s="20"/>
      <c r="J15" s="31"/>
      <c r="K15" s="31"/>
      <c r="L15" s="31"/>
    </row>
    <row r="16" spans="2:12" ht="13.9" thickTop="1" thickBot="1">
      <c r="B16" s="19"/>
      <c r="C16" s="19"/>
      <c r="D16" s="20"/>
      <c r="E16" s="21"/>
      <c r="F16" s="41"/>
      <c r="G16" s="22"/>
      <c r="H16" s="23">
        <f t="shared" si="3"/>
        <v>0</v>
      </c>
      <c r="I16" s="20"/>
      <c r="J16" s="31"/>
      <c r="K16" s="31"/>
      <c r="L16" s="31"/>
    </row>
    <row r="17" spans="1:12" ht="13.9" thickTop="1" thickBot="1">
      <c r="B17" s="19"/>
      <c r="C17" s="19"/>
      <c r="D17" s="20"/>
      <c r="E17" s="21"/>
      <c r="F17" s="41"/>
      <c r="G17" s="22"/>
      <c r="H17" s="23">
        <f t="shared" si="3"/>
        <v>0</v>
      </c>
      <c r="I17" s="20"/>
      <c r="J17" s="31"/>
      <c r="K17" s="31"/>
      <c r="L17" s="31"/>
    </row>
    <row r="18" spans="1:12" ht="13.9" thickTop="1" thickBot="1">
      <c r="B18" s="19"/>
      <c r="C18" s="19"/>
      <c r="D18" s="20"/>
      <c r="E18" s="21"/>
      <c r="F18" s="41"/>
      <c r="G18" s="22"/>
      <c r="H18" s="23">
        <f t="shared" si="3"/>
        <v>0</v>
      </c>
      <c r="I18" s="20"/>
      <c r="J18" s="31"/>
      <c r="K18" s="31"/>
      <c r="L18" s="31"/>
    </row>
    <row r="19" spans="1:12" s="29" customFormat="1" ht="13.9" thickTop="1" thickBot="1">
      <c r="A19" s="11"/>
      <c r="B19" s="25"/>
      <c r="C19" s="25"/>
      <c r="D19" s="26"/>
      <c r="E19" s="27"/>
      <c r="F19" s="27"/>
      <c r="G19" s="25"/>
      <c r="H19" s="23"/>
      <c r="I19" s="28"/>
      <c r="J19" s="49"/>
      <c r="K19" s="49"/>
      <c r="L19" s="49"/>
    </row>
    <row r="20" spans="1:12" ht="13.9" thickTop="1" thickBot="1">
      <c r="B20" s="79" t="s">
        <v>39</v>
      </c>
      <c r="C20" s="79"/>
      <c r="D20" s="79"/>
      <c r="E20" s="79"/>
      <c r="F20" s="79"/>
      <c r="G20" s="79"/>
      <c r="H20" s="30">
        <f>SUM(H13:H19)</f>
        <v>300</v>
      </c>
      <c r="J20" s="31"/>
      <c r="K20" s="50">
        <f>SUM(K$13:K19)</f>
        <v>300</v>
      </c>
      <c r="L20" s="50">
        <f>SUM(L$13:L19)</f>
        <v>0</v>
      </c>
    </row>
    <row r="21" spans="1:12" ht="13.5" thickTop="1"/>
    <row r="22" spans="1:12">
      <c r="G22" s="11" t="s">
        <v>40</v>
      </c>
      <c r="H22" s="24">
        <f>H20*3.6725</f>
        <v>1101.75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3BFE3718-A0B0-435A-8604-9653E8F356CA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851AB-50D3-4306-A743-C859DDF541B4}">
  <sheetPr codeName="Sheet111">
    <tabColor rgb="FF92D050"/>
  </sheetPr>
  <dimension ref="A5:L22"/>
  <sheetViews>
    <sheetView zoomScaleNormal="100" workbookViewId="0">
      <selection activeCell="D39" sqref="D39"/>
    </sheetView>
  </sheetViews>
  <sheetFormatPr defaultColWidth="9.125" defaultRowHeight="13.15"/>
  <cols>
    <col min="1" max="1" width="9.125" style="11"/>
    <col min="2" max="2" width="5.875" style="11" bestFit="1" customWidth="1"/>
    <col min="3" max="3" width="13.6875" style="11" bestFit="1" customWidth="1"/>
    <col min="4" max="4" width="24.625" style="11" bestFit="1" customWidth="1"/>
    <col min="5" max="5" width="8.375" style="11" bestFit="1" customWidth="1"/>
    <col min="6" max="6" width="7.875" style="11" bestFit="1" customWidth="1"/>
    <col min="7" max="7" width="5.125" style="11" bestFit="1" customWidth="1"/>
    <col min="8" max="8" width="17.375" style="11" bestFit="1" customWidth="1"/>
    <col min="9" max="9" width="25.6875" style="11" bestFit="1" customWidth="1"/>
    <col min="10" max="10" width="9.6875" style="11" bestFit="1" customWidth="1"/>
    <col min="11" max="11" width="10.875" style="11" bestFit="1" customWidth="1"/>
    <col min="12" max="12" width="12.125" style="11" bestFit="1" customWidth="1"/>
    <col min="13" max="13" width="10.125" style="11" bestFit="1" customWidth="1"/>
    <col min="14" max="15" width="10.6875" style="11" customWidth="1"/>
    <col min="16" max="17" width="80.6875" style="11" customWidth="1"/>
    <col min="18" max="18" width="110.6875" style="11" customWidth="1"/>
    <col min="19" max="16384" width="9.125" style="11"/>
  </cols>
  <sheetData>
    <row r="5" spans="2:12" ht="13.5" thickBot="1"/>
    <row r="6" spans="2:12" ht="13.9" thickTop="1" thickBot="1">
      <c r="B6" s="11" t="s">
        <v>23</v>
      </c>
      <c r="H6" s="12" t="s">
        <v>24</v>
      </c>
      <c r="I6" s="13">
        <f ca="1">TODAY()</f>
        <v>45944</v>
      </c>
    </row>
    <row r="7" spans="2:12" ht="13.9" thickTop="1" thickBot="1">
      <c r="B7" s="77" t="s">
        <v>25</v>
      </c>
      <c r="C7" s="77"/>
      <c r="D7" s="77"/>
      <c r="H7" s="12" t="s">
        <v>26</v>
      </c>
      <c r="I7" s="14" t="s">
        <v>27</v>
      </c>
    </row>
    <row r="8" spans="2:12" ht="13.9" thickTop="1" thickBot="1">
      <c r="B8" s="78" t="s">
        <v>28</v>
      </c>
      <c r="C8" s="78"/>
      <c r="D8" s="78"/>
      <c r="H8" s="12" t="s">
        <v>29</v>
      </c>
      <c r="I8" s="15" t="s">
        <v>85</v>
      </c>
    </row>
    <row r="9" spans="2:12" ht="13.9" thickTop="1" thickBot="1">
      <c r="B9" s="78" t="s">
        <v>30</v>
      </c>
      <c r="C9" s="78"/>
      <c r="D9" s="78"/>
      <c r="H9" s="12" t="s">
        <v>31</v>
      </c>
      <c r="I9" s="16" t="s">
        <v>83</v>
      </c>
    </row>
    <row r="10" spans="2:12" ht="13.9" thickTop="1" thickBot="1">
      <c r="H10" s="12" t="s">
        <v>32</v>
      </c>
      <c r="I10" s="16" t="s">
        <v>84</v>
      </c>
    </row>
    <row r="11" spans="2:12" ht="13.9" thickTop="1" thickBot="1"/>
    <row r="12" spans="2:12" ht="13.9" thickTop="1" thickBot="1">
      <c r="B12" s="17" t="s">
        <v>1</v>
      </c>
      <c r="C12" s="17" t="s">
        <v>33</v>
      </c>
      <c r="D12" s="18" t="s">
        <v>34</v>
      </c>
      <c r="E12" s="18" t="s">
        <v>35</v>
      </c>
      <c r="F12" s="43" t="s">
        <v>243</v>
      </c>
      <c r="G12" s="18" t="s">
        <v>36</v>
      </c>
      <c r="H12" s="18" t="s">
        <v>37</v>
      </c>
      <c r="I12" s="18" t="s">
        <v>38</v>
      </c>
      <c r="J12" s="47" t="s">
        <v>264</v>
      </c>
      <c r="K12" s="47" t="s">
        <v>265</v>
      </c>
      <c r="L12" s="47" t="s">
        <v>266</v>
      </c>
    </row>
    <row r="13" spans="2:12" ht="13.9" thickTop="1" thickBot="1">
      <c r="B13" s="19">
        <v>1</v>
      </c>
      <c r="C13" s="19" t="s">
        <v>0</v>
      </c>
      <c r="D13" s="20" t="s">
        <v>48</v>
      </c>
      <c r="E13" s="21">
        <v>150</v>
      </c>
      <c r="F13" s="44"/>
      <c r="G13" s="22">
        <v>1</v>
      </c>
      <c r="H13" s="23">
        <f>E13*G13</f>
        <v>150</v>
      </c>
      <c r="I13" s="20" t="s">
        <v>51</v>
      </c>
      <c r="J13" s="31">
        <f t="shared" ref="J13:J14" si="0">ROUND($E13,2)</f>
        <v>150</v>
      </c>
      <c r="K13" s="31">
        <f t="shared" ref="K13:K14" si="1">J13*$G13</f>
        <v>150</v>
      </c>
      <c r="L13" s="31">
        <f t="shared" ref="L13:L14" si="2">K13-$H13</f>
        <v>0</v>
      </c>
    </row>
    <row r="14" spans="2:12" ht="13.9" thickTop="1" thickBot="1">
      <c r="B14" s="19">
        <v>2</v>
      </c>
      <c r="C14" s="19" t="s">
        <v>0</v>
      </c>
      <c r="D14" s="20" t="s">
        <v>49</v>
      </c>
      <c r="E14" s="21">
        <v>150</v>
      </c>
      <c r="F14" s="44"/>
      <c r="G14" s="22">
        <v>1</v>
      </c>
      <c r="H14" s="23">
        <f>E14*G14</f>
        <v>150</v>
      </c>
      <c r="I14" s="20" t="s">
        <v>51</v>
      </c>
      <c r="J14" s="31">
        <f t="shared" si="0"/>
        <v>150</v>
      </c>
      <c r="K14" s="31">
        <f t="shared" si="1"/>
        <v>150</v>
      </c>
      <c r="L14" s="31">
        <f t="shared" si="2"/>
        <v>0</v>
      </c>
    </row>
    <row r="15" spans="2:12" ht="13.9" thickTop="1" thickBot="1">
      <c r="B15" s="19"/>
      <c r="C15" s="19"/>
      <c r="D15" s="20"/>
      <c r="E15" s="21"/>
      <c r="F15" s="41"/>
      <c r="G15" s="22"/>
      <c r="H15" s="23">
        <f t="shared" ref="H15:H18" si="3">E15*G15</f>
        <v>0</v>
      </c>
      <c r="I15" s="20"/>
      <c r="J15" s="31"/>
      <c r="K15" s="31"/>
      <c r="L15" s="31"/>
    </row>
    <row r="16" spans="2:12" ht="13.9" thickTop="1" thickBot="1">
      <c r="B16" s="19"/>
      <c r="C16" s="19"/>
      <c r="D16" s="20"/>
      <c r="E16" s="21"/>
      <c r="F16" s="41"/>
      <c r="G16" s="22"/>
      <c r="H16" s="23">
        <f t="shared" si="3"/>
        <v>0</v>
      </c>
      <c r="I16" s="20"/>
      <c r="J16" s="31"/>
      <c r="K16" s="31"/>
      <c r="L16" s="31"/>
    </row>
    <row r="17" spans="1:12" ht="13.9" thickTop="1" thickBot="1">
      <c r="B17" s="19"/>
      <c r="C17" s="19"/>
      <c r="D17" s="20"/>
      <c r="E17" s="21"/>
      <c r="F17" s="41"/>
      <c r="G17" s="22"/>
      <c r="H17" s="23">
        <f t="shared" si="3"/>
        <v>0</v>
      </c>
      <c r="I17" s="20"/>
      <c r="J17" s="31"/>
      <c r="K17" s="31"/>
      <c r="L17" s="31"/>
    </row>
    <row r="18" spans="1:12" ht="13.9" thickTop="1" thickBot="1">
      <c r="B18" s="19"/>
      <c r="C18" s="19"/>
      <c r="D18" s="20"/>
      <c r="E18" s="21"/>
      <c r="F18" s="41"/>
      <c r="G18" s="22"/>
      <c r="H18" s="23">
        <f t="shared" si="3"/>
        <v>0</v>
      </c>
      <c r="I18" s="20"/>
      <c r="J18" s="31"/>
      <c r="K18" s="31"/>
      <c r="L18" s="31"/>
    </row>
    <row r="19" spans="1:12" s="29" customFormat="1" ht="13.9" thickTop="1" thickBot="1">
      <c r="A19" s="11"/>
      <c r="B19" s="25"/>
      <c r="C19" s="25"/>
      <c r="D19" s="26"/>
      <c r="E19" s="27"/>
      <c r="F19" s="27"/>
      <c r="G19" s="25"/>
      <c r="H19" s="23"/>
      <c r="I19" s="28"/>
      <c r="J19" s="49"/>
      <c r="K19" s="49"/>
      <c r="L19" s="49"/>
    </row>
    <row r="20" spans="1:12" ht="13.9" thickTop="1" thickBot="1">
      <c r="B20" s="79" t="s">
        <v>39</v>
      </c>
      <c r="C20" s="79"/>
      <c r="D20" s="79"/>
      <c r="E20" s="79"/>
      <c r="F20" s="79"/>
      <c r="G20" s="79"/>
      <c r="H20" s="30">
        <f>SUM(H13:H19)</f>
        <v>300</v>
      </c>
      <c r="J20" s="31"/>
      <c r="K20" s="50">
        <f>SUM(K$13:K19)</f>
        <v>300</v>
      </c>
      <c r="L20" s="50">
        <f>SUM(L$13:L19)</f>
        <v>0</v>
      </c>
    </row>
    <row r="21" spans="1:12" ht="13.5" thickTop="1"/>
    <row r="22" spans="1:12">
      <c r="G22" s="11" t="s">
        <v>40</v>
      </c>
      <c r="H22" s="24">
        <f>H20*3.6725</f>
        <v>1101.75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B47A455D-B555-46EE-8C94-B00D3E1D7C1B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C9D14-92F2-4E1A-9096-65457A0516FF}">
  <sheetPr codeName="Sheet112">
    <tabColor rgb="FF92D050"/>
  </sheetPr>
  <dimension ref="A5:L22"/>
  <sheetViews>
    <sheetView zoomScaleNormal="100" workbookViewId="0">
      <selection activeCell="H8" sqref="H8"/>
    </sheetView>
  </sheetViews>
  <sheetFormatPr defaultColWidth="9.125" defaultRowHeight="13.15"/>
  <cols>
    <col min="1" max="1" width="9.125" style="11"/>
    <col min="2" max="2" width="5.875" style="11" bestFit="1" customWidth="1"/>
    <col min="3" max="3" width="13.6875" style="11" bestFit="1" customWidth="1"/>
    <col min="4" max="4" width="24.625" style="11" bestFit="1" customWidth="1"/>
    <col min="5" max="5" width="8.375" style="11" bestFit="1" customWidth="1"/>
    <col min="6" max="6" width="7.875" style="11" bestFit="1" customWidth="1"/>
    <col min="7" max="7" width="5.125" style="11" bestFit="1" customWidth="1"/>
    <col min="8" max="8" width="17.375" style="11" bestFit="1" customWidth="1"/>
    <col min="9" max="9" width="31.875" style="11" bestFit="1" customWidth="1"/>
    <col min="10" max="10" width="9.6875" style="11" bestFit="1" customWidth="1"/>
    <col min="11" max="11" width="10.875" style="11" bestFit="1" customWidth="1"/>
    <col min="12" max="12" width="12.125" style="11" bestFit="1" customWidth="1"/>
    <col min="13" max="13" width="10.125" style="11" bestFit="1" customWidth="1"/>
    <col min="14" max="15" width="10.6875" style="11" customWidth="1"/>
    <col min="16" max="17" width="80.6875" style="11" customWidth="1"/>
    <col min="18" max="18" width="110.6875" style="11" customWidth="1"/>
    <col min="19" max="16384" width="9.125" style="11"/>
  </cols>
  <sheetData>
    <row r="5" spans="2:12" ht="13.5" thickBot="1"/>
    <row r="6" spans="2:12" ht="13.9" thickTop="1" thickBot="1">
      <c r="B6" s="11" t="s">
        <v>23</v>
      </c>
      <c r="H6" s="12" t="s">
        <v>24</v>
      </c>
      <c r="I6" s="13">
        <f ca="1">TODAY()</f>
        <v>45944</v>
      </c>
    </row>
    <row r="7" spans="2:12" ht="13.9" thickTop="1" thickBot="1">
      <c r="B7" s="77" t="s">
        <v>25</v>
      </c>
      <c r="C7" s="77"/>
      <c r="D7" s="77"/>
      <c r="H7" s="12" t="s">
        <v>26</v>
      </c>
      <c r="I7" s="14" t="s">
        <v>27</v>
      </c>
    </row>
    <row r="8" spans="2:12" ht="13.9" thickTop="1" thickBot="1">
      <c r="B8" s="78" t="s">
        <v>28</v>
      </c>
      <c r="C8" s="78"/>
      <c r="D8" s="78"/>
      <c r="H8" s="12" t="s">
        <v>29</v>
      </c>
      <c r="I8" s="15" t="s">
        <v>88</v>
      </c>
    </row>
    <row r="9" spans="2:12" ht="13.9" thickTop="1" thickBot="1">
      <c r="B9" s="78" t="s">
        <v>30</v>
      </c>
      <c r="C9" s="78"/>
      <c r="D9" s="78"/>
      <c r="H9" s="12" t="s">
        <v>31</v>
      </c>
      <c r="I9" s="16" t="s">
        <v>86</v>
      </c>
    </row>
    <row r="10" spans="2:12" ht="13.9" thickTop="1" thickBot="1">
      <c r="H10" s="12" t="s">
        <v>32</v>
      </c>
      <c r="I10" s="16" t="s">
        <v>87</v>
      </c>
    </row>
    <row r="11" spans="2:12" ht="13.9" thickTop="1" thickBot="1"/>
    <row r="12" spans="2:12" ht="13.9" thickTop="1" thickBot="1">
      <c r="B12" s="17" t="s">
        <v>1</v>
      </c>
      <c r="C12" s="17" t="s">
        <v>33</v>
      </c>
      <c r="D12" s="18" t="s">
        <v>34</v>
      </c>
      <c r="E12" s="18" t="s">
        <v>35</v>
      </c>
      <c r="F12" s="43" t="s">
        <v>243</v>
      </c>
      <c r="G12" s="18" t="s">
        <v>36</v>
      </c>
      <c r="H12" s="18" t="s">
        <v>37</v>
      </c>
      <c r="I12" s="18" t="s">
        <v>38</v>
      </c>
      <c r="J12" s="47" t="s">
        <v>264</v>
      </c>
      <c r="K12" s="47" t="s">
        <v>265</v>
      </c>
      <c r="L12" s="47" t="s">
        <v>266</v>
      </c>
    </row>
    <row r="13" spans="2:12" ht="13.9" thickTop="1" thickBot="1">
      <c r="B13" s="19">
        <v>1</v>
      </c>
      <c r="C13" s="19" t="s">
        <v>0</v>
      </c>
      <c r="D13" s="20" t="s">
        <v>48</v>
      </c>
      <c r="E13" s="21">
        <v>150</v>
      </c>
      <c r="F13" s="44"/>
      <c r="G13" s="22">
        <v>1</v>
      </c>
      <c r="H13" s="23">
        <f>E13*G13</f>
        <v>150</v>
      </c>
      <c r="I13" s="20" t="s">
        <v>51</v>
      </c>
      <c r="J13" s="31">
        <f t="shared" ref="J13:J14" si="0">ROUND($E13,2)</f>
        <v>150</v>
      </c>
      <c r="K13" s="31">
        <f t="shared" ref="K13:K14" si="1">J13*$G13</f>
        <v>150</v>
      </c>
      <c r="L13" s="31">
        <f t="shared" ref="L13:L14" si="2">K13-$H13</f>
        <v>0</v>
      </c>
    </row>
    <row r="14" spans="2:12" ht="13.9" thickTop="1" thickBot="1">
      <c r="B14" s="19">
        <v>2</v>
      </c>
      <c r="C14" s="19" t="s">
        <v>0</v>
      </c>
      <c r="D14" s="20" t="s">
        <v>49</v>
      </c>
      <c r="E14" s="21">
        <v>150</v>
      </c>
      <c r="F14" s="44"/>
      <c r="G14" s="22">
        <v>1</v>
      </c>
      <c r="H14" s="23">
        <f>E14*G14</f>
        <v>150</v>
      </c>
      <c r="I14" s="20" t="s">
        <v>51</v>
      </c>
      <c r="J14" s="31">
        <f t="shared" si="0"/>
        <v>150</v>
      </c>
      <c r="K14" s="31">
        <f t="shared" si="1"/>
        <v>150</v>
      </c>
      <c r="L14" s="31">
        <f t="shared" si="2"/>
        <v>0</v>
      </c>
    </row>
    <row r="15" spans="2:12" ht="13.9" thickTop="1" thickBot="1">
      <c r="B15" s="19"/>
      <c r="C15" s="19"/>
      <c r="D15" s="20"/>
      <c r="E15" s="21"/>
      <c r="F15" s="41"/>
      <c r="G15" s="22"/>
      <c r="H15" s="23">
        <f t="shared" ref="H15:H18" si="3">E15*G15</f>
        <v>0</v>
      </c>
      <c r="I15" s="20"/>
      <c r="J15" s="31"/>
      <c r="K15" s="31"/>
      <c r="L15" s="31"/>
    </row>
    <row r="16" spans="2:12" ht="13.9" thickTop="1" thickBot="1">
      <c r="B16" s="19"/>
      <c r="C16" s="19"/>
      <c r="D16" s="20"/>
      <c r="E16" s="21"/>
      <c r="F16" s="41"/>
      <c r="G16" s="22"/>
      <c r="H16" s="23">
        <f t="shared" si="3"/>
        <v>0</v>
      </c>
      <c r="I16" s="20"/>
      <c r="J16" s="31"/>
      <c r="K16" s="31"/>
      <c r="L16" s="31"/>
    </row>
    <row r="17" spans="1:12" ht="13.9" thickTop="1" thickBot="1">
      <c r="B17" s="19"/>
      <c r="C17" s="19"/>
      <c r="D17" s="20"/>
      <c r="E17" s="21"/>
      <c r="F17" s="41"/>
      <c r="G17" s="22"/>
      <c r="H17" s="23">
        <f t="shared" si="3"/>
        <v>0</v>
      </c>
      <c r="I17" s="20"/>
      <c r="J17" s="31"/>
      <c r="K17" s="31"/>
      <c r="L17" s="31"/>
    </row>
    <row r="18" spans="1:12" ht="13.9" thickTop="1" thickBot="1">
      <c r="B18" s="19"/>
      <c r="C18" s="19"/>
      <c r="D18" s="20"/>
      <c r="E18" s="21"/>
      <c r="F18" s="41"/>
      <c r="G18" s="22"/>
      <c r="H18" s="23">
        <f t="shared" si="3"/>
        <v>0</v>
      </c>
      <c r="I18" s="20"/>
      <c r="J18" s="31"/>
      <c r="K18" s="31"/>
      <c r="L18" s="31"/>
    </row>
    <row r="19" spans="1:12" s="29" customFormat="1" ht="13.9" thickTop="1" thickBot="1">
      <c r="A19" s="11"/>
      <c r="B19" s="25"/>
      <c r="C19" s="25"/>
      <c r="D19" s="26"/>
      <c r="E19" s="27"/>
      <c r="F19" s="27"/>
      <c r="G19" s="25"/>
      <c r="H19" s="23"/>
      <c r="I19" s="28"/>
      <c r="J19" s="49"/>
      <c r="K19" s="49"/>
      <c r="L19" s="49"/>
    </row>
    <row r="20" spans="1:12" ht="13.9" thickTop="1" thickBot="1">
      <c r="B20" s="79" t="s">
        <v>39</v>
      </c>
      <c r="C20" s="79"/>
      <c r="D20" s="79"/>
      <c r="E20" s="79"/>
      <c r="F20" s="79"/>
      <c r="G20" s="79"/>
      <c r="H20" s="30">
        <f>SUM(H13:H19)</f>
        <v>300</v>
      </c>
      <c r="J20" s="31"/>
      <c r="K20" s="50">
        <f>SUM(K$13:K19)</f>
        <v>300</v>
      </c>
      <c r="L20" s="50">
        <f>SUM(L$13:L19)</f>
        <v>0</v>
      </c>
    </row>
    <row r="21" spans="1:12" ht="13.5" thickTop="1"/>
    <row r="22" spans="1:12">
      <c r="G22" s="11" t="s">
        <v>40</v>
      </c>
      <c r="H22" s="24">
        <f>H20*3.6725</f>
        <v>1101.75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29CB7D34-20D9-4C22-A815-36B6C6A846A7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48A09-6C68-4358-8CE6-2E9F9CDD56C6}">
  <sheetPr codeName="Sheet118">
    <tabColor rgb="FF92D050"/>
  </sheetPr>
  <dimension ref="A5:L22"/>
  <sheetViews>
    <sheetView zoomScaleNormal="100" workbookViewId="0">
      <selection activeCell="G14" sqref="G14"/>
    </sheetView>
  </sheetViews>
  <sheetFormatPr defaultColWidth="9.125" defaultRowHeight="13.15"/>
  <cols>
    <col min="1" max="1" width="9.125" style="11"/>
    <col min="2" max="2" width="5.875" style="11" bestFit="1" customWidth="1"/>
    <col min="3" max="3" width="13.6875" style="11" bestFit="1" customWidth="1"/>
    <col min="4" max="4" width="24.625" style="11" bestFit="1" customWidth="1"/>
    <col min="5" max="5" width="8.375" style="11" bestFit="1" customWidth="1"/>
    <col min="6" max="6" width="7.875" style="11" bestFit="1" customWidth="1"/>
    <col min="7" max="7" width="5.125" style="11" bestFit="1" customWidth="1"/>
    <col min="8" max="8" width="17.375" style="11" bestFit="1" customWidth="1"/>
    <col min="9" max="9" width="30.875" style="11" bestFit="1" customWidth="1"/>
    <col min="10" max="10" width="9.6875" style="11" bestFit="1" customWidth="1"/>
    <col min="11" max="11" width="10.875" style="11" bestFit="1" customWidth="1"/>
    <col min="12" max="12" width="12.125" style="11" bestFit="1" customWidth="1"/>
    <col min="13" max="13" width="10.125" style="11" bestFit="1" customWidth="1"/>
    <col min="14" max="15" width="10.6875" style="11" customWidth="1"/>
    <col min="16" max="17" width="80.6875" style="11" customWidth="1"/>
    <col min="18" max="18" width="110.6875" style="11" customWidth="1"/>
    <col min="19" max="16384" width="9.125" style="11"/>
  </cols>
  <sheetData>
    <row r="5" spans="2:12" ht="13.5" thickBot="1"/>
    <row r="6" spans="2:12" ht="13.9" thickTop="1" thickBot="1">
      <c r="B6" s="11" t="s">
        <v>23</v>
      </c>
      <c r="H6" s="12" t="s">
        <v>24</v>
      </c>
      <c r="I6" s="13">
        <f ca="1">TODAY()</f>
        <v>45944</v>
      </c>
    </row>
    <row r="7" spans="2:12" ht="13.9" thickTop="1" thickBot="1">
      <c r="B7" s="77" t="s">
        <v>25</v>
      </c>
      <c r="C7" s="77"/>
      <c r="D7" s="77"/>
      <c r="H7" s="12" t="s">
        <v>26</v>
      </c>
      <c r="I7" s="14" t="s">
        <v>27</v>
      </c>
    </row>
    <row r="8" spans="2:12" ht="13.9" thickTop="1" thickBot="1">
      <c r="B8" s="78" t="s">
        <v>28</v>
      </c>
      <c r="C8" s="78"/>
      <c r="D8" s="78"/>
      <c r="H8" s="12" t="s">
        <v>29</v>
      </c>
      <c r="I8" s="15" t="s">
        <v>113</v>
      </c>
    </row>
    <row r="9" spans="2:12" ht="13.9" thickTop="1" thickBot="1">
      <c r="B9" s="78" t="s">
        <v>30</v>
      </c>
      <c r="C9" s="78"/>
      <c r="D9" s="78"/>
      <c r="H9" s="12" t="s">
        <v>31</v>
      </c>
      <c r="I9" s="16" t="s">
        <v>111</v>
      </c>
    </row>
    <row r="10" spans="2:12" ht="13.9" thickTop="1" thickBot="1">
      <c r="H10" s="12" t="s">
        <v>32</v>
      </c>
      <c r="I10" s="16" t="s">
        <v>112</v>
      </c>
    </row>
    <row r="11" spans="2:12" ht="13.9" thickTop="1" thickBot="1"/>
    <row r="12" spans="2:12" ht="13.9" thickTop="1" thickBot="1">
      <c r="B12" s="17" t="s">
        <v>1</v>
      </c>
      <c r="C12" s="17" t="s">
        <v>33</v>
      </c>
      <c r="D12" s="18" t="s">
        <v>34</v>
      </c>
      <c r="E12" s="18" t="s">
        <v>35</v>
      </c>
      <c r="F12" s="43" t="s">
        <v>243</v>
      </c>
      <c r="G12" s="18" t="s">
        <v>36</v>
      </c>
      <c r="H12" s="18" t="s">
        <v>37</v>
      </c>
      <c r="I12" s="18" t="s">
        <v>38</v>
      </c>
      <c r="J12" s="47" t="s">
        <v>264</v>
      </c>
      <c r="K12" s="47" t="s">
        <v>265</v>
      </c>
      <c r="L12" s="47" t="s">
        <v>266</v>
      </c>
    </row>
    <row r="13" spans="2:12" ht="13.9" thickTop="1" thickBot="1">
      <c r="B13" s="19">
        <v>1</v>
      </c>
      <c r="C13" s="19" t="s">
        <v>0</v>
      </c>
      <c r="D13" s="20" t="s">
        <v>48</v>
      </c>
      <c r="E13" s="21">
        <v>150</v>
      </c>
      <c r="F13" s="44"/>
      <c r="G13" s="22">
        <v>1</v>
      </c>
      <c r="H13" s="23">
        <f>E13*G13</f>
        <v>150</v>
      </c>
      <c r="I13" s="20" t="s">
        <v>51</v>
      </c>
      <c r="J13" s="31">
        <f t="shared" ref="J13:J14" si="0">ROUND($E13,2)</f>
        <v>150</v>
      </c>
      <c r="K13" s="31">
        <f t="shared" ref="K13:K14" si="1">J13*$G13</f>
        <v>150</v>
      </c>
      <c r="L13" s="31">
        <f t="shared" ref="L13:L14" si="2">K13-$H13</f>
        <v>0</v>
      </c>
    </row>
    <row r="14" spans="2:12" ht="13.9" thickTop="1" thickBot="1">
      <c r="B14" s="19">
        <v>2</v>
      </c>
      <c r="C14" s="19" t="s">
        <v>0</v>
      </c>
      <c r="D14" s="20" t="s">
        <v>49</v>
      </c>
      <c r="E14" s="21">
        <v>150</v>
      </c>
      <c r="F14" s="44"/>
      <c r="G14" s="22">
        <v>1</v>
      </c>
      <c r="H14" s="23">
        <f>E14*G14</f>
        <v>150</v>
      </c>
      <c r="I14" s="20" t="s">
        <v>51</v>
      </c>
      <c r="J14" s="31">
        <f t="shared" si="0"/>
        <v>150</v>
      </c>
      <c r="K14" s="31">
        <f t="shared" si="1"/>
        <v>150</v>
      </c>
      <c r="L14" s="31">
        <f t="shared" si="2"/>
        <v>0</v>
      </c>
    </row>
    <row r="15" spans="2:12" ht="13.9" thickTop="1" thickBot="1">
      <c r="B15" s="19"/>
      <c r="C15" s="19"/>
      <c r="D15" s="20"/>
      <c r="E15" s="21"/>
      <c r="F15" s="41"/>
      <c r="G15" s="22"/>
      <c r="H15" s="23">
        <f t="shared" ref="H15:H18" si="3">E15*G15</f>
        <v>0</v>
      </c>
      <c r="I15" s="20"/>
      <c r="J15" s="31"/>
      <c r="K15" s="31"/>
      <c r="L15" s="31"/>
    </row>
    <row r="16" spans="2:12" ht="13.9" thickTop="1" thickBot="1">
      <c r="B16" s="19"/>
      <c r="C16" s="19"/>
      <c r="D16" s="20"/>
      <c r="E16" s="21"/>
      <c r="F16" s="41"/>
      <c r="G16" s="22"/>
      <c r="H16" s="23">
        <f t="shared" si="3"/>
        <v>0</v>
      </c>
      <c r="I16" s="20"/>
      <c r="J16" s="31"/>
      <c r="K16" s="31"/>
      <c r="L16" s="31"/>
    </row>
    <row r="17" spans="1:12" ht="13.9" thickTop="1" thickBot="1">
      <c r="B17" s="19"/>
      <c r="C17" s="19"/>
      <c r="D17" s="20"/>
      <c r="E17" s="21"/>
      <c r="F17" s="41"/>
      <c r="G17" s="22"/>
      <c r="H17" s="23">
        <f t="shared" si="3"/>
        <v>0</v>
      </c>
      <c r="I17" s="20"/>
      <c r="J17" s="31"/>
      <c r="K17" s="31"/>
      <c r="L17" s="31"/>
    </row>
    <row r="18" spans="1:12" ht="13.9" thickTop="1" thickBot="1">
      <c r="B18" s="19"/>
      <c r="C18" s="19"/>
      <c r="D18" s="20"/>
      <c r="E18" s="21"/>
      <c r="F18" s="41"/>
      <c r="G18" s="22"/>
      <c r="H18" s="23">
        <f t="shared" si="3"/>
        <v>0</v>
      </c>
      <c r="I18" s="20"/>
      <c r="J18" s="31"/>
      <c r="K18" s="31"/>
      <c r="L18" s="31"/>
    </row>
    <row r="19" spans="1:12" s="29" customFormat="1" ht="13.9" thickTop="1" thickBot="1">
      <c r="A19" s="11"/>
      <c r="B19" s="25"/>
      <c r="C19" s="25"/>
      <c r="D19" s="26"/>
      <c r="E19" s="27"/>
      <c r="F19" s="27"/>
      <c r="G19" s="25"/>
      <c r="H19" s="23"/>
      <c r="I19" s="28"/>
      <c r="J19" s="49"/>
      <c r="K19" s="49"/>
      <c r="L19" s="49"/>
    </row>
    <row r="20" spans="1:12" ht="13.9" thickTop="1" thickBot="1">
      <c r="B20" s="79" t="s">
        <v>39</v>
      </c>
      <c r="C20" s="79"/>
      <c r="D20" s="79"/>
      <c r="E20" s="79"/>
      <c r="F20" s="79"/>
      <c r="G20" s="79"/>
      <c r="H20" s="30">
        <f>SUM(H13:H19)</f>
        <v>300</v>
      </c>
      <c r="J20" s="31"/>
      <c r="K20" s="50">
        <f>SUM(K$13:K19)</f>
        <v>300</v>
      </c>
      <c r="L20" s="50">
        <f>SUM(L$13:L19)</f>
        <v>0</v>
      </c>
    </row>
    <row r="21" spans="1:12" ht="13.5" thickTop="1"/>
    <row r="22" spans="1:12">
      <c r="G22" s="11" t="s">
        <v>40</v>
      </c>
      <c r="H22" s="24">
        <f>H20*3.6725</f>
        <v>1101.75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D19C0D5B-5C96-4884-9046-2C8D3790B50C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D8BD5-C837-4A79-BE76-13B2FA079A48}">
  <sheetPr codeName="Sheet114">
    <tabColor rgb="FF92D050"/>
  </sheetPr>
  <dimension ref="A5:L22"/>
  <sheetViews>
    <sheetView zoomScaleNormal="100" workbookViewId="0">
      <selection activeCell="H8" sqref="H8"/>
    </sheetView>
  </sheetViews>
  <sheetFormatPr defaultColWidth="9.125" defaultRowHeight="13.15"/>
  <cols>
    <col min="1" max="1" width="9.125" style="11"/>
    <col min="2" max="2" width="5.875" style="11" bestFit="1" customWidth="1"/>
    <col min="3" max="3" width="13.6875" style="11" bestFit="1" customWidth="1"/>
    <col min="4" max="4" width="24.625" style="11" bestFit="1" customWidth="1"/>
    <col min="5" max="5" width="8.375" style="11" bestFit="1" customWidth="1"/>
    <col min="6" max="6" width="7.875" style="11" bestFit="1" customWidth="1"/>
    <col min="7" max="7" width="5.125" style="11" bestFit="1" customWidth="1"/>
    <col min="8" max="8" width="17.375" style="11" bestFit="1" customWidth="1"/>
    <col min="9" max="9" width="30.875" style="11" bestFit="1" customWidth="1"/>
    <col min="10" max="10" width="9.6875" style="11" bestFit="1" customWidth="1"/>
    <col min="11" max="11" width="10.875" style="11" bestFit="1" customWidth="1"/>
    <col min="12" max="12" width="12.125" style="11" bestFit="1" customWidth="1"/>
    <col min="13" max="13" width="10.125" style="11" bestFit="1" customWidth="1"/>
    <col min="14" max="15" width="10.6875" style="11" customWidth="1"/>
    <col min="16" max="17" width="80.6875" style="11" customWidth="1"/>
    <col min="18" max="18" width="110.6875" style="11" customWidth="1"/>
    <col min="19" max="16384" width="9.125" style="11"/>
  </cols>
  <sheetData>
    <row r="5" spans="2:12" ht="13.5" thickBot="1"/>
    <row r="6" spans="2:12" ht="13.9" thickTop="1" thickBot="1">
      <c r="B6" s="11" t="s">
        <v>23</v>
      </c>
      <c r="H6" s="12" t="s">
        <v>24</v>
      </c>
      <c r="I6" s="13">
        <f ca="1">TODAY()</f>
        <v>45944</v>
      </c>
    </row>
    <row r="7" spans="2:12" ht="13.9" thickTop="1" thickBot="1">
      <c r="B7" s="77" t="s">
        <v>25</v>
      </c>
      <c r="C7" s="77"/>
      <c r="D7" s="77"/>
      <c r="H7" s="12" t="s">
        <v>26</v>
      </c>
      <c r="I7" s="14" t="s">
        <v>27</v>
      </c>
    </row>
    <row r="8" spans="2:12" ht="13.9" thickTop="1" thickBot="1">
      <c r="B8" s="78" t="s">
        <v>28</v>
      </c>
      <c r="C8" s="78"/>
      <c r="D8" s="78"/>
      <c r="H8" s="12" t="s">
        <v>29</v>
      </c>
      <c r="I8" s="15" t="s">
        <v>94</v>
      </c>
    </row>
    <row r="9" spans="2:12" ht="13.9" thickTop="1" thickBot="1">
      <c r="B9" s="78" t="s">
        <v>30</v>
      </c>
      <c r="C9" s="78"/>
      <c r="D9" s="78"/>
      <c r="H9" s="12" t="s">
        <v>31</v>
      </c>
      <c r="I9" s="16" t="s">
        <v>92</v>
      </c>
    </row>
    <row r="10" spans="2:12" ht="13.9" thickTop="1" thickBot="1">
      <c r="H10" s="12" t="s">
        <v>32</v>
      </c>
      <c r="I10" s="16" t="s">
        <v>93</v>
      </c>
    </row>
    <row r="11" spans="2:12" ht="13.9" thickTop="1" thickBot="1"/>
    <row r="12" spans="2:12" ht="13.9" thickTop="1" thickBot="1">
      <c r="B12" s="17" t="s">
        <v>1</v>
      </c>
      <c r="C12" s="17" t="s">
        <v>33</v>
      </c>
      <c r="D12" s="18" t="s">
        <v>34</v>
      </c>
      <c r="E12" s="18" t="s">
        <v>35</v>
      </c>
      <c r="F12" s="43" t="s">
        <v>243</v>
      </c>
      <c r="G12" s="18" t="s">
        <v>36</v>
      </c>
      <c r="H12" s="18" t="s">
        <v>37</v>
      </c>
      <c r="I12" s="18" t="s">
        <v>38</v>
      </c>
      <c r="J12" s="47" t="s">
        <v>264</v>
      </c>
      <c r="K12" s="47" t="s">
        <v>265</v>
      </c>
      <c r="L12" s="47" t="s">
        <v>266</v>
      </c>
    </row>
    <row r="13" spans="2:12" ht="13.9" thickTop="1" thickBot="1">
      <c r="B13" s="19">
        <v>1</v>
      </c>
      <c r="C13" s="19" t="s">
        <v>0</v>
      </c>
      <c r="D13" s="20" t="s">
        <v>48</v>
      </c>
      <c r="E13" s="21">
        <v>150</v>
      </c>
      <c r="F13" s="44"/>
      <c r="G13" s="22">
        <v>1</v>
      </c>
      <c r="H13" s="23">
        <f>E13*G13</f>
        <v>150</v>
      </c>
      <c r="I13" s="20" t="s">
        <v>51</v>
      </c>
      <c r="J13" s="31">
        <f t="shared" ref="J13:J14" si="0">ROUND($E13,2)</f>
        <v>150</v>
      </c>
      <c r="K13" s="31">
        <f t="shared" ref="K13:K14" si="1">J13*$G13</f>
        <v>150</v>
      </c>
      <c r="L13" s="31">
        <f t="shared" ref="L13:L14" si="2">K13-$H13</f>
        <v>0</v>
      </c>
    </row>
    <row r="14" spans="2:12" ht="13.9" thickTop="1" thickBot="1">
      <c r="B14" s="19">
        <v>2</v>
      </c>
      <c r="C14" s="19" t="s">
        <v>0</v>
      </c>
      <c r="D14" s="20" t="s">
        <v>49</v>
      </c>
      <c r="E14" s="21">
        <v>150</v>
      </c>
      <c r="F14" s="44"/>
      <c r="G14" s="22">
        <v>1</v>
      </c>
      <c r="H14" s="23">
        <f>E14*G14</f>
        <v>150</v>
      </c>
      <c r="I14" s="20" t="s">
        <v>51</v>
      </c>
      <c r="J14" s="31">
        <f t="shared" si="0"/>
        <v>150</v>
      </c>
      <c r="K14" s="31">
        <f t="shared" si="1"/>
        <v>150</v>
      </c>
      <c r="L14" s="31">
        <f t="shared" si="2"/>
        <v>0</v>
      </c>
    </row>
    <row r="15" spans="2:12" ht="13.9" thickTop="1" thickBot="1">
      <c r="B15" s="19"/>
      <c r="C15" s="19"/>
      <c r="D15" s="20"/>
      <c r="E15" s="21"/>
      <c r="F15" s="41"/>
      <c r="G15" s="22"/>
      <c r="H15" s="23">
        <f t="shared" ref="H15:H18" si="3">E15*G15</f>
        <v>0</v>
      </c>
      <c r="I15" s="20"/>
      <c r="J15" s="31"/>
      <c r="K15" s="31"/>
      <c r="L15" s="31"/>
    </row>
    <row r="16" spans="2:12" ht="13.9" thickTop="1" thickBot="1">
      <c r="B16" s="19"/>
      <c r="C16" s="19"/>
      <c r="D16" s="20"/>
      <c r="E16" s="21"/>
      <c r="F16" s="41"/>
      <c r="G16" s="22"/>
      <c r="H16" s="23">
        <f t="shared" si="3"/>
        <v>0</v>
      </c>
      <c r="I16" s="20"/>
      <c r="J16" s="31"/>
      <c r="K16" s="31"/>
      <c r="L16" s="31"/>
    </row>
    <row r="17" spans="1:12" ht="13.9" thickTop="1" thickBot="1">
      <c r="B17" s="19"/>
      <c r="C17" s="19"/>
      <c r="D17" s="20"/>
      <c r="E17" s="21"/>
      <c r="F17" s="41"/>
      <c r="G17" s="22"/>
      <c r="H17" s="23">
        <f t="shared" si="3"/>
        <v>0</v>
      </c>
      <c r="I17" s="20"/>
      <c r="J17" s="31"/>
      <c r="K17" s="31"/>
      <c r="L17" s="31"/>
    </row>
    <row r="18" spans="1:12" ht="13.9" thickTop="1" thickBot="1">
      <c r="B18" s="19"/>
      <c r="C18" s="19"/>
      <c r="D18" s="20"/>
      <c r="E18" s="21"/>
      <c r="F18" s="41"/>
      <c r="G18" s="22"/>
      <c r="H18" s="23">
        <f t="shared" si="3"/>
        <v>0</v>
      </c>
      <c r="I18" s="20"/>
      <c r="J18" s="31"/>
      <c r="K18" s="31"/>
      <c r="L18" s="31"/>
    </row>
    <row r="19" spans="1:12" s="29" customFormat="1" ht="13.9" thickTop="1" thickBot="1">
      <c r="A19" s="11"/>
      <c r="B19" s="25"/>
      <c r="C19" s="25"/>
      <c r="D19" s="26"/>
      <c r="E19" s="27"/>
      <c r="F19" s="27"/>
      <c r="G19" s="25"/>
      <c r="H19" s="23"/>
      <c r="I19" s="28"/>
      <c r="J19" s="49"/>
      <c r="K19" s="49"/>
      <c r="L19" s="49"/>
    </row>
    <row r="20" spans="1:12" ht="13.9" thickTop="1" thickBot="1">
      <c r="B20" s="79" t="s">
        <v>39</v>
      </c>
      <c r="C20" s="79"/>
      <c r="D20" s="79"/>
      <c r="E20" s="79"/>
      <c r="F20" s="79"/>
      <c r="G20" s="79"/>
      <c r="H20" s="30">
        <f>SUM(H13:H19)</f>
        <v>300</v>
      </c>
      <c r="J20" s="31"/>
      <c r="K20" s="50">
        <f>SUM(K$13:K19)</f>
        <v>300</v>
      </c>
      <c r="L20" s="50">
        <f>SUM(L$13:L19)</f>
        <v>0</v>
      </c>
    </row>
    <row r="21" spans="1:12" ht="13.5" thickTop="1"/>
    <row r="22" spans="1:12">
      <c r="G22" s="11" t="s">
        <v>40</v>
      </c>
      <c r="H22" s="24">
        <f>H20*3.6725</f>
        <v>1101.75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E4455FB0-E3D5-4270-9D5C-2E60925DC409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95C15-9F71-49F5-91AE-12CCB457AF56}">
  <sheetPr codeName="Sheet116">
    <tabColor rgb="FF92D050"/>
  </sheetPr>
  <dimension ref="A5:L22"/>
  <sheetViews>
    <sheetView zoomScaleNormal="100" workbookViewId="0"/>
  </sheetViews>
  <sheetFormatPr defaultColWidth="9.125" defaultRowHeight="13.15"/>
  <cols>
    <col min="1" max="1" width="9.125" style="11"/>
    <col min="2" max="2" width="5.875" style="11" bestFit="1" customWidth="1"/>
    <col min="3" max="3" width="13.6875" style="11" bestFit="1" customWidth="1"/>
    <col min="4" max="4" width="24.625" style="11" bestFit="1" customWidth="1"/>
    <col min="5" max="5" width="8.375" style="11" bestFit="1" customWidth="1"/>
    <col min="6" max="6" width="7.875" style="11" bestFit="1" customWidth="1"/>
    <col min="7" max="7" width="5.125" style="11" bestFit="1" customWidth="1"/>
    <col min="8" max="8" width="17.375" style="11" bestFit="1" customWidth="1"/>
    <col min="9" max="9" width="46.125" style="11" bestFit="1" customWidth="1"/>
    <col min="10" max="10" width="9.6875" style="11" bestFit="1" customWidth="1"/>
    <col min="11" max="11" width="10.875" style="11" bestFit="1" customWidth="1"/>
    <col min="12" max="12" width="12.125" style="11" bestFit="1" customWidth="1"/>
    <col min="13" max="13" width="10.125" style="11" bestFit="1" customWidth="1"/>
    <col min="14" max="15" width="10.6875" style="11" customWidth="1"/>
    <col min="16" max="17" width="80.6875" style="11" customWidth="1"/>
    <col min="18" max="18" width="110.6875" style="11" customWidth="1"/>
    <col min="19" max="16384" width="9.125" style="11"/>
  </cols>
  <sheetData>
    <row r="5" spans="2:12" ht="13.5" thickBot="1"/>
    <row r="6" spans="2:12" ht="13.9" thickTop="1" thickBot="1">
      <c r="B6" s="11" t="s">
        <v>23</v>
      </c>
      <c r="H6" s="12" t="s">
        <v>24</v>
      </c>
      <c r="I6" s="13">
        <f ca="1">TODAY()</f>
        <v>45944</v>
      </c>
    </row>
    <row r="7" spans="2:12" ht="13.9" thickTop="1" thickBot="1">
      <c r="B7" s="77" t="s">
        <v>25</v>
      </c>
      <c r="C7" s="77"/>
      <c r="D7" s="77"/>
      <c r="H7" s="12" t="s">
        <v>26</v>
      </c>
      <c r="I7" s="14" t="s">
        <v>27</v>
      </c>
    </row>
    <row r="8" spans="2:12" ht="13.9" thickTop="1" thickBot="1">
      <c r="B8" s="78" t="s">
        <v>28</v>
      </c>
      <c r="C8" s="78"/>
      <c r="D8" s="78"/>
      <c r="H8" s="12" t="s">
        <v>29</v>
      </c>
      <c r="I8" s="15" t="s">
        <v>106</v>
      </c>
    </row>
    <row r="9" spans="2:12" ht="13.9" thickTop="1" thickBot="1">
      <c r="B9" s="78" t="s">
        <v>30</v>
      </c>
      <c r="C9" s="78"/>
      <c r="D9" s="78"/>
      <c r="H9" s="12" t="s">
        <v>31</v>
      </c>
      <c r="I9" s="16" t="s">
        <v>105</v>
      </c>
    </row>
    <row r="10" spans="2:12" ht="13.9" thickTop="1" thickBot="1">
      <c r="H10" s="12" t="s">
        <v>32</v>
      </c>
      <c r="I10" s="16" t="s">
        <v>107</v>
      </c>
    </row>
    <row r="11" spans="2:12" ht="13.9" thickTop="1" thickBot="1"/>
    <row r="12" spans="2:12" ht="13.9" thickTop="1" thickBot="1">
      <c r="B12" s="17" t="s">
        <v>1</v>
      </c>
      <c r="C12" s="17" t="s">
        <v>33</v>
      </c>
      <c r="D12" s="18" t="s">
        <v>34</v>
      </c>
      <c r="E12" s="18" t="s">
        <v>35</v>
      </c>
      <c r="F12" s="43" t="s">
        <v>243</v>
      </c>
      <c r="G12" s="18" t="s">
        <v>36</v>
      </c>
      <c r="H12" s="18" t="s">
        <v>37</v>
      </c>
      <c r="I12" s="18" t="s">
        <v>38</v>
      </c>
      <c r="J12" s="47" t="s">
        <v>264</v>
      </c>
      <c r="K12" s="47" t="s">
        <v>265</v>
      </c>
      <c r="L12" s="47" t="s">
        <v>266</v>
      </c>
    </row>
    <row r="13" spans="2:12" ht="13.9" thickTop="1" thickBot="1">
      <c r="B13" s="19">
        <v>1</v>
      </c>
      <c r="C13" s="19" t="s">
        <v>0</v>
      </c>
      <c r="D13" s="20" t="s">
        <v>48</v>
      </c>
      <c r="E13" s="21">
        <v>150</v>
      </c>
      <c r="F13" s="44"/>
      <c r="G13" s="22">
        <v>1</v>
      </c>
      <c r="H13" s="23">
        <f>E13*G13</f>
        <v>150</v>
      </c>
      <c r="I13" s="20" t="s">
        <v>51</v>
      </c>
      <c r="J13" s="31">
        <f t="shared" ref="J13:J14" si="0">ROUND($E13,2)</f>
        <v>150</v>
      </c>
      <c r="K13" s="31">
        <f t="shared" ref="K13:K14" si="1">J13*$G13</f>
        <v>150</v>
      </c>
      <c r="L13" s="31">
        <f t="shared" ref="L13:L14" si="2">K13-$H13</f>
        <v>0</v>
      </c>
    </row>
    <row r="14" spans="2:12" ht="13.9" thickTop="1" thickBot="1">
      <c r="B14" s="19">
        <v>2</v>
      </c>
      <c r="C14" s="19" t="s">
        <v>0</v>
      </c>
      <c r="D14" s="20" t="s">
        <v>49</v>
      </c>
      <c r="E14" s="21">
        <v>150</v>
      </c>
      <c r="F14" s="44"/>
      <c r="G14" s="22">
        <v>1</v>
      </c>
      <c r="H14" s="23">
        <f>E14*G14</f>
        <v>150</v>
      </c>
      <c r="I14" s="20" t="s">
        <v>51</v>
      </c>
      <c r="J14" s="31">
        <f t="shared" si="0"/>
        <v>150</v>
      </c>
      <c r="K14" s="31">
        <f t="shared" si="1"/>
        <v>150</v>
      </c>
      <c r="L14" s="31">
        <f t="shared" si="2"/>
        <v>0</v>
      </c>
    </row>
    <row r="15" spans="2:12" ht="13.9" thickTop="1" thickBot="1">
      <c r="B15" s="19"/>
      <c r="C15" s="19"/>
      <c r="D15" s="20"/>
      <c r="E15" s="21"/>
      <c r="F15" s="41"/>
      <c r="G15" s="22"/>
      <c r="H15" s="23">
        <f t="shared" ref="H15:H18" si="3">E15*G15</f>
        <v>0</v>
      </c>
      <c r="I15" s="20"/>
      <c r="J15" s="31"/>
      <c r="K15" s="31"/>
      <c r="L15" s="31"/>
    </row>
    <row r="16" spans="2:12" ht="13.9" thickTop="1" thickBot="1">
      <c r="B16" s="19"/>
      <c r="C16" s="19"/>
      <c r="D16" s="20"/>
      <c r="E16" s="21"/>
      <c r="F16" s="41"/>
      <c r="G16" s="22"/>
      <c r="H16" s="23">
        <f t="shared" si="3"/>
        <v>0</v>
      </c>
      <c r="I16" s="20"/>
      <c r="J16" s="31"/>
      <c r="K16" s="31"/>
      <c r="L16" s="31"/>
    </row>
    <row r="17" spans="1:12" ht="13.9" thickTop="1" thickBot="1">
      <c r="B17" s="19"/>
      <c r="C17" s="19"/>
      <c r="D17" s="20"/>
      <c r="E17" s="21"/>
      <c r="F17" s="41"/>
      <c r="G17" s="22"/>
      <c r="H17" s="23">
        <f t="shared" si="3"/>
        <v>0</v>
      </c>
      <c r="I17" s="20"/>
      <c r="J17" s="31"/>
      <c r="K17" s="31"/>
      <c r="L17" s="31"/>
    </row>
    <row r="18" spans="1:12" ht="13.9" thickTop="1" thickBot="1">
      <c r="B18" s="19"/>
      <c r="C18" s="19"/>
      <c r="D18" s="20"/>
      <c r="E18" s="21"/>
      <c r="F18" s="41"/>
      <c r="G18" s="22"/>
      <c r="H18" s="23">
        <f t="shared" si="3"/>
        <v>0</v>
      </c>
      <c r="I18" s="20"/>
      <c r="J18" s="31"/>
      <c r="K18" s="31"/>
      <c r="L18" s="31"/>
    </row>
    <row r="19" spans="1:12" s="29" customFormat="1" ht="13.9" thickTop="1" thickBot="1">
      <c r="A19" s="11"/>
      <c r="B19" s="25"/>
      <c r="C19" s="25"/>
      <c r="D19" s="26"/>
      <c r="E19" s="27"/>
      <c r="F19" s="27"/>
      <c r="G19" s="25"/>
      <c r="H19" s="23"/>
      <c r="I19" s="28"/>
      <c r="J19" s="49"/>
      <c r="K19" s="49"/>
      <c r="L19" s="49"/>
    </row>
    <row r="20" spans="1:12" ht="13.9" thickTop="1" thickBot="1">
      <c r="B20" s="79" t="s">
        <v>39</v>
      </c>
      <c r="C20" s="79"/>
      <c r="D20" s="79"/>
      <c r="E20" s="79"/>
      <c r="F20" s="79"/>
      <c r="G20" s="79"/>
      <c r="H20" s="30">
        <f>SUM(H13:H19)</f>
        <v>300</v>
      </c>
      <c r="J20" s="31"/>
      <c r="K20" s="50">
        <f>SUM(K$13:K19)</f>
        <v>300</v>
      </c>
      <c r="L20" s="50">
        <f>SUM(L$13:L19)</f>
        <v>0</v>
      </c>
    </row>
    <row r="21" spans="1:12" ht="13.5" thickTop="1"/>
    <row r="22" spans="1:12">
      <c r="G22" s="11" t="s">
        <v>40</v>
      </c>
      <c r="H22" s="24">
        <f>H20*3.6725</f>
        <v>1101.75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7A36414B-7E0C-4E70-8936-1F5549B24E7E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08A2F-07AC-4D25-B482-0EFD54A29AE9}">
  <sheetPr codeName="Sheet113">
    <tabColor rgb="FF92D050"/>
  </sheetPr>
  <dimension ref="A5:L22"/>
  <sheetViews>
    <sheetView zoomScaleNormal="100" workbookViewId="0">
      <selection activeCell="H9" sqref="H9"/>
    </sheetView>
  </sheetViews>
  <sheetFormatPr defaultColWidth="9.125" defaultRowHeight="13.15"/>
  <cols>
    <col min="1" max="1" width="9.125" style="11"/>
    <col min="2" max="2" width="5.875" style="11" bestFit="1" customWidth="1"/>
    <col min="3" max="3" width="13.6875" style="11" bestFit="1" customWidth="1"/>
    <col min="4" max="4" width="24.625" style="11" bestFit="1" customWidth="1"/>
    <col min="5" max="5" width="8.375" style="11" bestFit="1" customWidth="1"/>
    <col min="6" max="6" width="7.875" style="11" bestFit="1" customWidth="1"/>
    <col min="7" max="7" width="5.125" style="11" bestFit="1" customWidth="1"/>
    <col min="8" max="8" width="17.375" style="11" bestFit="1" customWidth="1"/>
    <col min="9" max="9" width="25.6875" style="11" bestFit="1" customWidth="1"/>
    <col min="10" max="10" width="9.6875" style="11" bestFit="1" customWidth="1"/>
    <col min="11" max="11" width="10.875" style="11" bestFit="1" customWidth="1"/>
    <col min="12" max="12" width="12.125" style="11" bestFit="1" customWidth="1"/>
    <col min="13" max="13" width="10.125" style="11" bestFit="1" customWidth="1"/>
    <col min="14" max="15" width="10.6875" style="11" customWidth="1"/>
    <col min="16" max="17" width="80.6875" style="11" customWidth="1"/>
    <col min="18" max="18" width="110.6875" style="11" customWidth="1"/>
    <col min="19" max="16384" width="9.125" style="11"/>
  </cols>
  <sheetData>
    <row r="5" spans="2:12" ht="13.5" thickBot="1"/>
    <row r="6" spans="2:12" ht="13.9" thickTop="1" thickBot="1">
      <c r="B6" s="11" t="s">
        <v>23</v>
      </c>
      <c r="H6" s="12" t="s">
        <v>24</v>
      </c>
      <c r="I6" s="13">
        <f ca="1">TODAY()</f>
        <v>45944</v>
      </c>
    </row>
    <row r="7" spans="2:12" ht="13.9" thickTop="1" thickBot="1">
      <c r="B7" s="77" t="s">
        <v>25</v>
      </c>
      <c r="C7" s="77"/>
      <c r="D7" s="77"/>
      <c r="H7" s="12" t="s">
        <v>26</v>
      </c>
      <c r="I7" s="14" t="s">
        <v>27</v>
      </c>
    </row>
    <row r="8" spans="2:12" ht="13.9" thickTop="1" thickBot="1">
      <c r="B8" s="78" t="s">
        <v>28</v>
      </c>
      <c r="C8" s="78"/>
      <c r="D8" s="78"/>
      <c r="H8" s="12" t="s">
        <v>29</v>
      </c>
      <c r="I8" s="15" t="s">
        <v>91</v>
      </c>
    </row>
    <row r="9" spans="2:12" ht="13.9" thickTop="1" thickBot="1">
      <c r="B9" s="78" t="s">
        <v>30</v>
      </c>
      <c r="C9" s="78"/>
      <c r="D9" s="78"/>
      <c r="H9" s="12" t="s">
        <v>31</v>
      </c>
      <c r="I9" s="16" t="s">
        <v>89</v>
      </c>
    </row>
    <row r="10" spans="2:12" ht="13.9" thickTop="1" thickBot="1">
      <c r="H10" s="12" t="s">
        <v>32</v>
      </c>
      <c r="I10" s="16" t="s">
        <v>90</v>
      </c>
    </row>
    <row r="11" spans="2:12" ht="13.9" thickTop="1" thickBot="1"/>
    <row r="12" spans="2:12" ht="13.9" thickTop="1" thickBot="1">
      <c r="B12" s="17" t="s">
        <v>1</v>
      </c>
      <c r="C12" s="17" t="s">
        <v>33</v>
      </c>
      <c r="D12" s="18" t="s">
        <v>34</v>
      </c>
      <c r="E12" s="18" t="s">
        <v>35</v>
      </c>
      <c r="F12" s="43" t="s">
        <v>243</v>
      </c>
      <c r="G12" s="18" t="s">
        <v>36</v>
      </c>
      <c r="H12" s="18" t="s">
        <v>37</v>
      </c>
      <c r="I12" s="18" t="s">
        <v>38</v>
      </c>
      <c r="J12" s="47" t="s">
        <v>264</v>
      </c>
      <c r="K12" s="47" t="s">
        <v>265</v>
      </c>
      <c r="L12" s="47" t="s">
        <v>266</v>
      </c>
    </row>
    <row r="13" spans="2:12" ht="13.9" thickTop="1" thickBot="1">
      <c r="B13" s="19">
        <v>1</v>
      </c>
      <c r="C13" s="19" t="s">
        <v>0</v>
      </c>
      <c r="D13" s="20" t="s">
        <v>48</v>
      </c>
      <c r="E13" s="21">
        <v>80</v>
      </c>
      <c r="F13" s="44"/>
      <c r="G13" s="22">
        <v>1</v>
      </c>
      <c r="H13" s="23">
        <f>E13*G13</f>
        <v>80</v>
      </c>
      <c r="I13" s="20" t="s">
        <v>51</v>
      </c>
      <c r="J13" s="31">
        <f t="shared" ref="J13:J14" si="0">ROUND($E13,2)</f>
        <v>80</v>
      </c>
      <c r="K13" s="31">
        <f t="shared" ref="K13:K14" si="1">J13*$G13</f>
        <v>80</v>
      </c>
      <c r="L13" s="31">
        <f t="shared" ref="L13:L14" si="2">K13-$H13</f>
        <v>0</v>
      </c>
    </row>
    <row r="14" spans="2:12" ht="13.9" thickTop="1" thickBot="1">
      <c r="B14" s="19">
        <v>2</v>
      </c>
      <c r="C14" s="19" t="s">
        <v>0</v>
      </c>
      <c r="D14" s="20" t="s">
        <v>49</v>
      </c>
      <c r="E14" s="21">
        <v>150</v>
      </c>
      <c r="F14" s="44"/>
      <c r="G14" s="22">
        <v>1</v>
      </c>
      <c r="H14" s="23">
        <f>E14*G14</f>
        <v>150</v>
      </c>
      <c r="I14" s="20" t="s">
        <v>51</v>
      </c>
      <c r="J14" s="31">
        <f t="shared" si="0"/>
        <v>150</v>
      </c>
      <c r="K14" s="31">
        <f t="shared" si="1"/>
        <v>150</v>
      </c>
      <c r="L14" s="31">
        <f t="shared" si="2"/>
        <v>0</v>
      </c>
    </row>
    <row r="15" spans="2:12" ht="13.9" thickTop="1" thickBot="1">
      <c r="B15" s="19"/>
      <c r="C15" s="19"/>
      <c r="D15" s="20"/>
      <c r="E15" s="21"/>
      <c r="F15" s="41"/>
      <c r="G15" s="22"/>
      <c r="H15" s="23">
        <f t="shared" ref="H15:H18" si="3">E15*G15</f>
        <v>0</v>
      </c>
      <c r="I15" s="20"/>
      <c r="J15" s="31"/>
      <c r="K15" s="31"/>
      <c r="L15" s="31"/>
    </row>
    <row r="16" spans="2:12" ht="13.9" thickTop="1" thickBot="1">
      <c r="B16" s="19"/>
      <c r="C16" s="19"/>
      <c r="D16" s="20"/>
      <c r="E16" s="21"/>
      <c r="F16" s="41"/>
      <c r="G16" s="22"/>
      <c r="H16" s="23">
        <f t="shared" si="3"/>
        <v>0</v>
      </c>
      <c r="I16" s="20"/>
      <c r="J16" s="31"/>
      <c r="K16" s="31"/>
      <c r="L16" s="31"/>
    </row>
    <row r="17" spans="1:12" ht="13.9" thickTop="1" thickBot="1">
      <c r="B17" s="19"/>
      <c r="C17" s="19"/>
      <c r="D17" s="20"/>
      <c r="E17" s="21"/>
      <c r="F17" s="41"/>
      <c r="G17" s="22"/>
      <c r="H17" s="23">
        <f t="shared" si="3"/>
        <v>0</v>
      </c>
      <c r="I17" s="20"/>
      <c r="J17" s="31"/>
      <c r="K17" s="31"/>
      <c r="L17" s="31"/>
    </row>
    <row r="18" spans="1:12" ht="13.9" thickTop="1" thickBot="1">
      <c r="B18" s="19"/>
      <c r="C18" s="19"/>
      <c r="D18" s="20"/>
      <c r="E18" s="21"/>
      <c r="F18" s="41"/>
      <c r="G18" s="22"/>
      <c r="H18" s="23">
        <f t="shared" si="3"/>
        <v>0</v>
      </c>
      <c r="I18" s="20"/>
      <c r="J18" s="31"/>
      <c r="K18" s="31"/>
      <c r="L18" s="31"/>
    </row>
    <row r="19" spans="1:12" s="29" customFormat="1" ht="13.9" thickTop="1" thickBot="1">
      <c r="A19" s="11"/>
      <c r="B19" s="25"/>
      <c r="C19" s="25"/>
      <c r="D19" s="26"/>
      <c r="E19" s="27"/>
      <c r="F19" s="27"/>
      <c r="G19" s="25"/>
      <c r="H19" s="23"/>
      <c r="I19" s="28"/>
      <c r="J19" s="49"/>
      <c r="K19" s="49"/>
      <c r="L19" s="49"/>
    </row>
    <row r="20" spans="1:12" ht="13.9" thickTop="1" thickBot="1">
      <c r="B20" s="79" t="s">
        <v>39</v>
      </c>
      <c r="C20" s="79"/>
      <c r="D20" s="79"/>
      <c r="E20" s="79"/>
      <c r="F20" s="79"/>
      <c r="G20" s="79"/>
      <c r="H20" s="30">
        <f>SUM(H13:H19)</f>
        <v>230</v>
      </c>
      <c r="J20" s="31"/>
      <c r="K20" s="50">
        <f>SUM(K$13:K19)</f>
        <v>230</v>
      </c>
      <c r="L20" s="50">
        <f>SUM(L$13:L19)</f>
        <v>0</v>
      </c>
    </row>
    <row r="21" spans="1:12" ht="13.5" thickTop="1"/>
    <row r="22" spans="1:12">
      <c r="G22" s="11" t="s">
        <v>40</v>
      </c>
      <c r="H22" s="24">
        <f>H20*3.6725</f>
        <v>844.67499999999995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0985F568-3C0E-46FA-9AE7-BF12FAEF70E5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BE9A7-C14A-46EE-975A-0890F7F21BAC}">
  <sheetPr codeName="Sheet122">
    <tabColor rgb="FF92D050"/>
  </sheetPr>
  <dimension ref="A5:L22"/>
  <sheetViews>
    <sheetView zoomScaleNormal="100" workbookViewId="0">
      <selection activeCell="H8" sqref="H8"/>
    </sheetView>
  </sheetViews>
  <sheetFormatPr defaultColWidth="9.125" defaultRowHeight="13.15"/>
  <cols>
    <col min="1" max="1" width="9.125" style="11"/>
    <col min="2" max="2" width="5.875" style="11" bestFit="1" customWidth="1"/>
    <col min="3" max="3" width="13.6875" style="11" bestFit="1" customWidth="1"/>
    <col min="4" max="4" width="24.625" style="11" bestFit="1" customWidth="1"/>
    <col min="5" max="5" width="8.375" style="11" bestFit="1" customWidth="1"/>
    <col min="6" max="6" width="7.875" style="11" bestFit="1" customWidth="1"/>
    <col min="7" max="7" width="5.125" style="11" bestFit="1" customWidth="1"/>
    <col min="8" max="8" width="17.375" style="11" bestFit="1" customWidth="1"/>
    <col min="9" max="9" width="48.375" style="11" bestFit="1" customWidth="1"/>
    <col min="10" max="10" width="9.6875" style="11" bestFit="1" customWidth="1"/>
    <col min="11" max="11" width="10.875" style="11" bestFit="1" customWidth="1"/>
    <col min="12" max="12" width="12.125" style="11" bestFit="1" customWidth="1"/>
    <col min="13" max="13" width="10.125" style="11" bestFit="1" customWidth="1"/>
    <col min="14" max="15" width="10.6875" style="11" customWidth="1"/>
    <col min="16" max="17" width="80.6875" style="11" customWidth="1"/>
    <col min="18" max="18" width="110.6875" style="11" customWidth="1"/>
    <col min="19" max="16384" width="9.125" style="11"/>
  </cols>
  <sheetData>
    <row r="5" spans="2:12" ht="13.5" thickBot="1"/>
    <row r="6" spans="2:12" ht="13.9" thickTop="1" thickBot="1">
      <c r="B6" s="11" t="s">
        <v>23</v>
      </c>
      <c r="H6" s="12" t="s">
        <v>24</v>
      </c>
      <c r="I6" s="13">
        <f ca="1">TODAY()</f>
        <v>45944</v>
      </c>
    </row>
    <row r="7" spans="2:12" ht="13.9" thickTop="1" thickBot="1">
      <c r="B7" s="77" t="s">
        <v>25</v>
      </c>
      <c r="C7" s="77"/>
      <c r="D7" s="77"/>
      <c r="H7" s="12" t="s">
        <v>26</v>
      </c>
      <c r="I7" s="14" t="s">
        <v>27</v>
      </c>
    </row>
    <row r="8" spans="2:12" ht="13.9" thickTop="1" thickBot="1">
      <c r="B8" s="78" t="s">
        <v>28</v>
      </c>
      <c r="C8" s="78"/>
      <c r="D8" s="78"/>
      <c r="H8" s="12" t="s">
        <v>29</v>
      </c>
      <c r="I8" s="15" t="s">
        <v>159</v>
      </c>
    </row>
    <row r="9" spans="2:12" ht="13.9" thickTop="1" thickBot="1">
      <c r="B9" s="78" t="s">
        <v>30</v>
      </c>
      <c r="C9" s="78"/>
      <c r="D9" s="78"/>
      <c r="H9" s="12" t="s">
        <v>31</v>
      </c>
      <c r="I9" s="16" t="s">
        <v>158</v>
      </c>
    </row>
    <row r="10" spans="2:12" ht="13.9" thickTop="1" thickBot="1">
      <c r="H10" s="12" t="s">
        <v>32</v>
      </c>
      <c r="I10" s="16" t="s">
        <v>157</v>
      </c>
    </row>
    <row r="11" spans="2:12" ht="13.9" thickTop="1" thickBot="1"/>
    <row r="12" spans="2:12" ht="13.9" thickTop="1" thickBot="1">
      <c r="B12" s="17" t="s">
        <v>1</v>
      </c>
      <c r="C12" s="17" t="s">
        <v>33</v>
      </c>
      <c r="D12" s="18" t="s">
        <v>34</v>
      </c>
      <c r="E12" s="18" t="s">
        <v>35</v>
      </c>
      <c r="F12" s="43" t="s">
        <v>243</v>
      </c>
      <c r="G12" s="18" t="s">
        <v>36</v>
      </c>
      <c r="H12" s="18" t="s">
        <v>37</v>
      </c>
      <c r="I12" s="18" t="s">
        <v>38</v>
      </c>
      <c r="J12" s="47" t="s">
        <v>264</v>
      </c>
      <c r="K12" s="47" t="s">
        <v>265</v>
      </c>
      <c r="L12" s="47" t="s">
        <v>266</v>
      </c>
    </row>
    <row r="13" spans="2:12" ht="13.9" thickTop="1" thickBot="1">
      <c r="B13" s="19">
        <v>1</v>
      </c>
      <c r="C13" s="19" t="s">
        <v>0</v>
      </c>
      <c r="D13" s="20" t="s">
        <v>48</v>
      </c>
      <c r="E13" s="21">
        <v>150</v>
      </c>
      <c r="F13" s="44"/>
      <c r="G13" s="22">
        <v>1</v>
      </c>
      <c r="H13" s="23">
        <f>E13*G13</f>
        <v>150</v>
      </c>
      <c r="I13" s="20" t="s">
        <v>51</v>
      </c>
      <c r="J13" s="31">
        <f t="shared" ref="J13:J14" si="0">ROUND($E13,2)</f>
        <v>150</v>
      </c>
      <c r="K13" s="31">
        <f t="shared" ref="K13:K14" si="1">J13*$G13</f>
        <v>150</v>
      </c>
      <c r="L13" s="31">
        <f t="shared" ref="L13:L14" si="2">K13-$H13</f>
        <v>0</v>
      </c>
    </row>
    <row r="14" spans="2:12" ht="13.9" thickTop="1" thickBot="1">
      <c r="B14" s="19">
        <v>2</v>
      </c>
      <c r="C14" s="19" t="s">
        <v>0</v>
      </c>
      <c r="D14" s="20" t="s">
        <v>49</v>
      </c>
      <c r="E14" s="21">
        <v>150</v>
      </c>
      <c r="F14" s="44"/>
      <c r="G14" s="22">
        <v>1</v>
      </c>
      <c r="H14" s="23">
        <f>E14*G14</f>
        <v>150</v>
      </c>
      <c r="I14" s="20" t="s">
        <v>51</v>
      </c>
      <c r="J14" s="31">
        <f t="shared" si="0"/>
        <v>150</v>
      </c>
      <c r="K14" s="31">
        <f t="shared" si="1"/>
        <v>150</v>
      </c>
      <c r="L14" s="31">
        <f t="shared" si="2"/>
        <v>0</v>
      </c>
    </row>
    <row r="15" spans="2:12" ht="13.9" thickTop="1" thickBot="1">
      <c r="B15" s="19"/>
      <c r="C15" s="19"/>
      <c r="D15" s="20"/>
      <c r="E15" s="21"/>
      <c r="F15" s="41"/>
      <c r="G15" s="22"/>
      <c r="H15" s="23">
        <f t="shared" ref="H15:H18" si="3">E15*G15</f>
        <v>0</v>
      </c>
      <c r="I15" s="20"/>
      <c r="J15" s="31"/>
      <c r="K15" s="31"/>
      <c r="L15" s="31"/>
    </row>
    <row r="16" spans="2:12" ht="13.9" thickTop="1" thickBot="1">
      <c r="B16" s="19"/>
      <c r="C16" s="19"/>
      <c r="D16" s="20"/>
      <c r="E16" s="21"/>
      <c r="F16" s="41"/>
      <c r="G16" s="22"/>
      <c r="H16" s="23">
        <f t="shared" si="3"/>
        <v>0</v>
      </c>
      <c r="I16" s="20"/>
      <c r="J16" s="31"/>
      <c r="K16" s="31"/>
      <c r="L16" s="31"/>
    </row>
    <row r="17" spans="1:12" ht="13.9" thickTop="1" thickBot="1">
      <c r="B17" s="19"/>
      <c r="C17" s="19"/>
      <c r="D17" s="20"/>
      <c r="E17" s="21"/>
      <c r="F17" s="41"/>
      <c r="G17" s="22"/>
      <c r="H17" s="23">
        <f t="shared" si="3"/>
        <v>0</v>
      </c>
      <c r="I17" s="20"/>
      <c r="J17" s="31"/>
      <c r="K17" s="31"/>
      <c r="L17" s="31"/>
    </row>
    <row r="18" spans="1:12" ht="13.9" thickTop="1" thickBot="1">
      <c r="B18" s="19"/>
      <c r="C18" s="19"/>
      <c r="D18" s="20"/>
      <c r="E18" s="21"/>
      <c r="F18" s="41"/>
      <c r="G18" s="22"/>
      <c r="H18" s="23">
        <f t="shared" si="3"/>
        <v>0</v>
      </c>
      <c r="I18" s="20"/>
      <c r="J18" s="31"/>
      <c r="K18" s="31"/>
      <c r="L18" s="31"/>
    </row>
    <row r="19" spans="1:12" s="29" customFormat="1" ht="13.9" thickTop="1" thickBot="1">
      <c r="A19" s="11"/>
      <c r="B19" s="25"/>
      <c r="C19" s="25"/>
      <c r="D19" s="26"/>
      <c r="E19" s="27"/>
      <c r="F19" s="27"/>
      <c r="G19" s="25"/>
      <c r="H19" s="23"/>
      <c r="I19" s="28"/>
      <c r="J19" s="49"/>
      <c r="K19" s="49"/>
      <c r="L19" s="49"/>
    </row>
    <row r="20" spans="1:12" ht="13.9" thickTop="1" thickBot="1">
      <c r="B20" s="79" t="s">
        <v>39</v>
      </c>
      <c r="C20" s="79"/>
      <c r="D20" s="79"/>
      <c r="E20" s="79"/>
      <c r="F20" s="79"/>
      <c r="G20" s="79"/>
      <c r="H20" s="30">
        <f>SUM(H13:H19)</f>
        <v>300</v>
      </c>
      <c r="J20" s="31"/>
      <c r="K20" s="50">
        <f>SUM(K$13:K19)</f>
        <v>300</v>
      </c>
      <c r="L20" s="50">
        <f>SUM(L$13:L19)</f>
        <v>0</v>
      </c>
    </row>
    <row r="21" spans="1:12" ht="13.5" thickTop="1"/>
    <row r="22" spans="1:12">
      <c r="G22" s="11" t="s">
        <v>40</v>
      </c>
      <c r="H22" s="24">
        <f>H20*3.6725</f>
        <v>1101.75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264134E2-9A0E-4CD5-8915-876C84D618D2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A3629-1BCB-4098-8D8B-B84476567C74}">
  <sheetPr codeName="Sheet123">
    <tabColor rgb="FF92D050"/>
  </sheetPr>
  <dimension ref="A5:L22"/>
  <sheetViews>
    <sheetView zoomScaleNormal="100" workbookViewId="0"/>
  </sheetViews>
  <sheetFormatPr defaultColWidth="9.125" defaultRowHeight="13.15"/>
  <cols>
    <col min="1" max="1" width="9.125" style="11"/>
    <col min="2" max="2" width="5.875" style="11" bestFit="1" customWidth="1"/>
    <col min="3" max="3" width="13.6875" style="11" bestFit="1" customWidth="1"/>
    <col min="4" max="4" width="24.625" style="11" bestFit="1" customWidth="1"/>
    <col min="5" max="5" width="8.375" style="11" bestFit="1" customWidth="1"/>
    <col min="6" max="6" width="7.875" style="11" bestFit="1" customWidth="1"/>
    <col min="7" max="7" width="5.125" style="11" bestFit="1" customWidth="1"/>
    <col min="8" max="8" width="17.375" style="11" bestFit="1" customWidth="1"/>
    <col min="9" max="9" width="36.875" style="11" bestFit="1" customWidth="1"/>
    <col min="10" max="10" width="9.6875" style="11" bestFit="1" customWidth="1"/>
    <col min="11" max="11" width="10.875" style="11" bestFit="1" customWidth="1"/>
    <col min="12" max="12" width="12.125" style="11" bestFit="1" customWidth="1"/>
    <col min="13" max="13" width="10.125" style="11" bestFit="1" customWidth="1"/>
    <col min="14" max="15" width="10.6875" style="11" customWidth="1"/>
    <col min="16" max="17" width="80.6875" style="11" customWidth="1"/>
    <col min="18" max="18" width="110.6875" style="11" customWidth="1"/>
    <col min="19" max="16384" width="9.125" style="11"/>
  </cols>
  <sheetData>
    <row r="5" spans="2:12" ht="13.5" thickBot="1"/>
    <row r="6" spans="2:12" ht="13.9" thickTop="1" thickBot="1">
      <c r="B6" s="11" t="s">
        <v>23</v>
      </c>
      <c r="H6" s="12" t="s">
        <v>24</v>
      </c>
      <c r="I6" s="13">
        <f ca="1">TODAY()</f>
        <v>45944</v>
      </c>
    </row>
    <row r="7" spans="2:12" ht="13.9" thickTop="1" thickBot="1">
      <c r="B7" s="77" t="s">
        <v>25</v>
      </c>
      <c r="C7" s="77"/>
      <c r="D7" s="77"/>
      <c r="H7" s="12" t="s">
        <v>26</v>
      </c>
      <c r="I7" s="14" t="s">
        <v>27</v>
      </c>
    </row>
    <row r="8" spans="2:12" ht="13.9" thickTop="1" thickBot="1">
      <c r="B8" s="78" t="s">
        <v>28</v>
      </c>
      <c r="C8" s="78"/>
      <c r="D8" s="78"/>
      <c r="H8" s="12" t="s">
        <v>29</v>
      </c>
      <c r="I8" s="15" t="s">
        <v>164</v>
      </c>
    </row>
    <row r="9" spans="2:12" ht="13.9" thickTop="1" thickBot="1">
      <c r="B9" s="78" t="s">
        <v>30</v>
      </c>
      <c r="C9" s="78"/>
      <c r="D9" s="78"/>
      <c r="H9" s="12" t="s">
        <v>31</v>
      </c>
      <c r="I9" s="16" t="s">
        <v>162</v>
      </c>
    </row>
    <row r="10" spans="2:12" ht="13.9" thickTop="1" thickBot="1">
      <c r="H10" s="12" t="s">
        <v>32</v>
      </c>
      <c r="I10" s="16" t="s">
        <v>163</v>
      </c>
    </row>
    <row r="11" spans="2:12" ht="13.9" thickTop="1" thickBot="1"/>
    <row r="12" spans="2:12" ht="13.9" thickTop="1" thickBot="1">
      <c r="B12" s="17" t="s">
        <v>1</v>
      </c>
      <c r="C12" s="17" t="s">
        <v>33</v>
      </c>
      <c r="D12" s="18" t="s">
        <v>34</v>
      </c>
      <c r="E12" s="18" t="s">
        <v>35</v>
      </c>
      <c r="F12" s="43" t="s">
        <v>243</v>
      </c>
      <c r="G12" s="18" t="s">
        <v>36</v>
      </c>
      <c r="H12" s="18" t="s">
        <v>37</v>
      </c>
      <c r="I12" s="18" t="s">
        <v>38</v>
      </c>
      <c r="J12" s="47" t="s">
        <v>264</v>
      </c>
      <c r="K12" s="47" t="s">
        <v>265</v>
      </c>
      <c r="L12" s="47" t="s">
        <v>266</v>
      </c>
    </row>
    <row r="13" spans="2:12" ht="13.9" thickTop="1" thickBot="1">
      <c r="B13" s="19">
        <v>1</v>
      </c>
      <c r="C13" s="19" t="s">
        <v>0</v>
      </c>
      <c r="D13" s="20" t="s">
        <v>48</v>
      </c>
      <c r="E13" s="21">
        <v>150</v>
      </c>
      <c r="F13" s="44"/>
      <c r="G13" s="22">
        <v>1</v>
      </c>
      <c r="H13" s="23">
        <f>E13*G13</f>
        <v>150</v>
      </c>
      <c r="I13" s="20" t="s">
        <v>51</v>
      </c>
      <c r="J13" s="31">
        <f t="shared" ref="J13:J14" si="0">ROUND($E13,2)</f>
        <v>150</v>
      </c>
      <c r="K13" s="31">
        <f t="shared" ref="K13:K14" si="1">J13*$G13</f>
        <v>150</v>
      </c>
      <c r="L13" s="31">
        <f t="shared" ref="L13:L14" si="2">K13-$H13</f>
        <v>0</v>
      </c>
    </row>
    <row r="14" spans="2:12" ht="13.9" thickTop="1" thickBot="1">
      <c r="B14" s="19">
        <v>2</v>
      </c>
      <c r="C14" s="19" t="s">
        <v>0</v>
      </c>
      <c r="D14" s="20" t="s">
        <v>49</v>
      </c>
      <c r="E14" s="21">
        <v>150</v>
      </c>
      <c r="F14" s="44"/>
      <c r="G14" s="22">
        <v>1</v>
      </c>
      <c r="H14" s="23">
        <f>E14*G14</f>
        <v>150</v>
      </c>
      <c r="I14" s="20" t="s">
        <v>51</v>
      </c>
      <c r="J14" s="31">
        <f t="shared" si="0"/>
        <v>150</v>
      </c>
      <c r="K14" s="31">
        <f t="shared" si="1"/>
        <v>150</v>
      </c>
      <c r="L14" s="31">
        <f t="shared" si="2"/>
        <v>0</v>
      </c>
    </row>
    <row r="15" spans="2:12" ht="13.9" thickTop="1" thickBot="1">
      <c r="B15" s="19"/>
      <c r="C15" s="19"/>
      <c r="D15" s="20"/>
      <c r="E15" s="21"/>
      <c r="F15" s="41"/>
      <c r="G15" s="22"/>
      <c r="H15" s="23">
        <f t="shared" ref="H15:H18" si="3">E15*G15</f>
        <v>0</v>
      </c>
      <c r="I15" s="20"/>
      <c r="J15" s="31"/>
      <c r="K15" s="31"/>
      <c r="L15" s="31"/>
    </row>
    <row r="16" spans="2:12" ht="13.9" thickTop="1" thickBot="1">
      <c r="B16" s="19"/>
      <c r="C16" s="19"/>
      <c r="D16" s="20"/>
      <c r="E16" s="21"/>
      <c r="F16" s="41"/>
      <c r="G16" s="22"/>
      <c r="H16" s="23">
        <f t="shared" si="3"/>
        <v>0</v>
      </c>
      <c r="I16" s="20"/>
      <c r="J16" s="31"/>
      <c r="K16" s="31"/>
      <c r="L16" s="31"/>
    </row>
    <row r="17" spans="1:12" ht="13.9" thickTop="1" thickBot="1">
      <c r="B17" s="19"/>
      <c r="C17" s="19"/>
      <c r="D17" s="20"/>
      <c r="E17" s="21"/>
      <c r="F17" s="41"/>
      <c r="G17" s="22"/>
      <c r="H17" s="23">
        <f t="shared" si="3"/>
        <v>0</v>
      </c>
      <c r="I17" s="20"/>
      <c r="J17" s="31"/>
      <c r="K17" s="31"/>
      <c r="L17" s="31"/>
    </row>
    <row r="18" spans="1:12" ht="13.9" thickTop="1" thickBot="1">
      <c r="B18" s="19"/>
      <c r="C18" s="19"/>
      <c r="D18" s="20"/>
      <c r="E18" s="21"/>
      <c r="F18" s="41"/>
      <c r="G18" s="22"/>
      <c r="H18" s="23">
        <f t="shared" si="3"/>
        <v>0</v>
      </c>
      <c r="I18" s="20"/>
      <c r="J18" s="31"/>
      <c r="K18" s="31"/>
      <c r="L18" s="31"/>
    </row>
    <row r="19" spans="1:12" s="29" customFormat="1" ht="13.9" thickTop="1" thickBot="1">
      <c r="A19" s="11"/>
      <c r="B19" s="25"/>
      <c r="C19" s="25"/>
      <c r="D19" s="26"/>
      <c r="E19" s="27"/>
      <c r="F19" s="27"/>
      <c r="G19" s="25"/>
      <c r="H19" s="23"/>
      <c r="I19" s="28"/>
      <c r="J19" s="49"/>
      <c r="K19" s="49"/>
      <c r="L19" s="49"/>
    </row>
    <row r="20" spans="1:12" ht="13.9" thickTop="1" thickBot="1">
      <c r="B20" s="79" t="s">
        <v>39</v>
      </c>
      <c r="C20" s="79"/>
      <c r="D20" s="79"/>
      <c r="E20" s="79"/>
      <c r="F20" s="79"/>
      <c r="G20" s="79"/>
      <c r="H20" s="30">
        <f>SUM(H13:H19)</f>
        <v>300</v>
      </c>
      <c r="J20" s="31"/>
      <c r="K20" s="50">
        <f>SUM(K$13:K19)</f>
        <v>300</v>
      </c>
      <c r="L20" s="50">
        <f>SUM(L$13:L19)</f>
        <v>0</v>
      </c>
    </row>
    <row r="21" spans="1:12" ht="13.5" thickTop="1"/>
    <row r="22" spans="1:12">
      <c r="G22" s="11" t="s">
        <v>40</v>
      </c>
      <c r="H22" s="24">
        <f>H20*3.6725</f>
        <v>1101.75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BDBC5F1E-9F16-4431-AD22-CEC35D841541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D3797-AB7B-423A-AE06-C4C7F6ADE0BD}">
  <sheetPr codeName="Sheet124">
    <tabColor rgb="FF92D050"/>
  </sheetPr>
  <dimension ref="A5:L22"/>
  <sheetViews>
    <sheetView zoomScaleNormal="100" workbookViewId="0">
      <selection activeCell="H8" sqref="H8"/>
    </sheetView>
  </sheetViews>
  <sheetFormatPr defaultColWidth="9.125" defaultRowHeight="13.15"/>
  <cols>
    <col min="1" max="1" width="9.125" style="11"/>
    <col min="2" max="2" width="5.875" style="11" bestFit="1" customWidth="1"/>
    <col min="3" max="3" width="13.6875" style="11" bestFit="1" customWidth="1"/>
    <col min="4" max="4" width="24.625" style="11" bestFit="1" customWidth="1"/>
    <col min="5" max="5" width="8.375" style="11" bestFit="1" customWidth="1"/>
    <col min="6" max="6" width="7.875" style="11" bestFit="1" customWidth="1"/>
    <col min="7" max="7" width="5.125" style="11" bestFit="1" customWidth="1"/>
    <col min="8" max="8" width="17.375" style="11" bestFit="1" customWidth="1"/>
    <col min="9" max="9" width="25.6875" style="11" bestFit="1" customWidth="1"/>
    <col min="10" max="10" width="9.6875" style="11" bestFit="1" customWidth="1"/>
    <col min="11" max="11" width="10.875" style="11" bestFit="1" customWidth="1"/>
    <col min="12" max="12" width="12.125" style="11" bestFit="1" customWidth="1"/>
    <col min="13" max="13" width="10.125" style="11" bestFit="1" customWidth="1"/>
    <col min="14" max="15" width="10.6875" style="11" customWidth="1"/>
    <col min="16" max="17" width="80.6875" style="11" customWidth="1"/>
    <col min="18" max="18" width="110.6875" style="11" customWidth="1"/>
    <col min="19" max="16384" width="9.125" style="11"/>
  </cols>
  <sheetData>
    <row r="5" spans="2:12" ht="13.5" thickBot="1"/>
    <row r="6" spans="2:12" ht="13.9" thickTop="1" thickBot="1">
      <c r="B6" s="11" t="s">
        <v>23</v>
      </c>
      <c r="H6" s="12" t="s">
        <v>24</v>
      </c>
      <c r="I6" s="13">
        <f ca="1">TODAY()</f>
        <v>45944</v>
      </c>
    </row>
    <row r="7" spans="2:12" ht="13.9" thickTop="1" thickBot="1">
      <c r="B7" s="77" t="s">
        <v>25</v>
      </c>
      <c r="C7" s="77"/>
      <c r="D7" s="77"/>
      <c r="H7" s="12" t="s">
        <v>26</v>
      </c>
      <c r="I7" s="14" t="s">
        <v>27</v>
      </c>
    </row>
    <row r="8" spans="2:12" ht="13.9" thickTop="1" thickBot="1">
      <c r="B8" s="78" t="s">
        <v>28</v>
      </c>
      <c r="C8" s="78"/>
      <c r="D8" s="78"/>
      <c r="H8" s="12" t="s">
        <v>29</v>
      </c>
      <c r="I8" s="15" t="s">
        <v>168</v>
      </c>
    </row>
    <row r="9" spans="2:12" ht="13.9" thickTop="1" thickBot="1">
      <c r="B9" s="78" t="s">
        <v>30</v>
      </c>
      <c r="C9" s="78"/>
      <c r="D9" s="78"/>
      <c r="H9" s="12" t="s">
        <v>31</v>
      </c>
      <c r="I9" s="16" t="s">
        <v>167</v>
      </c>
    </row>
    <row r="10" spans="2:12" ht="13.9" thickTop="1" thickBot="1">
      <c r="H10" s="12" t="s">
        <v>32</v>
      </c>
      <c r="I10" s="16" t="s">
        <v>169</v>
      </c>
    </row>
    <row r="11" spans="2:12" ht="13.9" thickTop="1" thickBot="1"/>
    <row r="12" spans="2:12" ht="13.9" thickTop="1" thickBot="1">
      <c r="B12" s="17" t="s">
        <v>1</v>
      </c>
      <c r="C12" s="17" t="s">
        <v>33</v>
      </c>
      <c r="D12" s="18" t="s">
        <v>34</v>
      </c>
      <c r="E12" s="18" t="s">
        <v>35</v>
      </c>
      <c r="F12" s="43" t="s">
        <v>243</v>
      </c>
      <c r="G12" s="18" t="s">
        <v>36</v>
      </c>
      <c r="H12" s="18" t="s">
        <v>37</v>
      </c>
      <c r="I12" s="18" t="s">
        <v>38</v>
      </c>
      <c r="J12" s="47" t="s">
        <v>264</v>
      </c>
      <c r="K12" s="47" t="s">
        <v>265</v>
      </c>
      <c r="L12" s="47" t="s">
        <v>266</v>
      </c>
    </row>
    <row r="13" spans="2:12" ht="13.9" thickTop="1" thickBot="1">
      <c r="B13" s="19">
        <v>1</v>
      </c>
      <c r="C13" s="19" t="s">
        <v>0</v>
      </c>
      <c r="D13" s="20" t="s">
        <v>48</v>
      </c>
      <c r="E13" s="21">
        <v>150</v>
      </c>
      <c r="F13" s="44"/>
      <c r="G13" s="22">
        <v>1</v>
      </c>
      <c r="H13" s="23">
        <f>E13*G13</f>
        <v>150</v>
      </c>
      <c r="I13" s="20" t="s">
        <v>51</v>
      </c>
      <c r="J13" s="31">
        <f t="shared" ref="J13:J14" si="0">ROUND($E13,2)</f>
        <v>150</v>
      </c>
      <c r="K13" s="31">
        <f t="shared" ref="K13:K14" si="1">J13*$G13</f>
        <v>150</v>
      </c>
      <c r="L13" s="31">
        <f t="shared" ref="L13:L14" si="2">K13-$H13</f>
        <v>0</v>
      </c>
    </row>
    <row r="14" spans="2:12" ht="13.9" thickTop="1" thickBot="1">
      <c r="B14" s="19">
        <v>2</v>
      </c>
      <c r="C14" s="19" t="s">
        <v>0</v>
      </c>
      <c r="D14" s="20" t="s">
        <v>49</v>
      </c>
      <c r="E14" s="21">
        <v>150</v>
      </c>
      <c r="F14" s="44"/>
      <c r="G14" s="22">
        <v>1</v>
      </c>
      <c r="H14" s="23">
        <f>E14*G14</f>
        <v>150</v>
      </c>
      <c r="I14" s="20" t="s">
        <v>51</v>
      </c>
      <c r="J14" s="31">
        <f t="shared" si="0"/>
        <v>150</v>
      </c>
      <c r="K14" s="31">
        <f t="shared" si="1"/>
        <v>150</v>
      </c>
      <c r="L14" s="31">
        <f t="shared" si="2"/>
        <v>0</v>
      </c>
    </row>
    <row r="15" spans="2:12" ht="13.9" thickTop="1" thickBot="1">
      <c r="B15" s="19"/>
      <c r="C15" s="19"/>
      <c r="D15" s="20"/>
      <c r="E15" s="21"/>
      <c r="F15" s="41"/>
      <c r="G15" s="22"/>
      <c r="H15" s="23">
        <f t="shared" ref="H15:H18" si="3">E15*G15</f>
        <v>0</v>
      </c>
      <c r="I15" s="20"/>
      <c r="J15" s="31"/>
      <c r="K15" s="31"/>
      <c r="L15" s="31"/>
    </row>
    <row r="16" spans="2:12" ht="13.9" thickTop="1" thickBot="1">
      <c r="B16" s="19"/>
      <c r="C16" s="19"/>
      <c r="D16" s="20"/>
      <c r="E16" s="21"/>
      <c r="F16" s="41"/>
      <c r="G16" s="22"/>
      <c r="H16" s="23">
        <f t="shared" si="3"/>
        <v>0</v>
      </c>
      <c r="I16" s="20"/>
      <c r="J16" s="31"/>
      <c r="K16" s="31"/>
      <c r="L16" s="31"/>
    </row>
    <row r="17" spans="1:12" ht="13.9" thickTop="1" thickBot="1">
      <c r="B17" s="19"/>
      <c r="C17" s="19"/>
      <c r="D17" s="20"/>
      <c r="E17" s="21"/>
      <c r="F17" s="41"/>
      <c r="G17" s="22"/>
      <c r="H17" s="23">
        <f t="shared" si="3"/>
        <v>0</v>
      </c>
      <c r="I17" s="20"/>
      <c r="J17" s="31"/>
      <c r="K17" s="31"/>
      <c r="L17" s="31"/>
    </row>
    <row r="18" spans="1:12" ht="13.9" thickTop="1" thickBot="1">
      <c r="B18" s="19"/>
      <c r="C18" s="19"/>
      <c r="D18" s="20"/>
      <c r="E18" s="21"/>
      <c r="F18" s="41"/>
      <c r="G18" s="22"/>
      <c r="H18" s="23">
        <f t="shared" si="3"/>
        <v>0</v>
      </c>
      <c r="I18" s="20"/>
      <c r="J18" s="31"/>
      <c r="K18" s="31"/>
      <c r="L18" s="31"/>
    </row>
    <row r="19" spans="1:12" s="29" customFormat="1" ht="13.9" thickTop="1" thickBot="1">
      <c r="A19" s="11"/>
      <c r="B19" s="25"/>
      <c r="C19" s="25"/>
      <c r="D19" s="26"/>
      <c r="E19" s="27"/>
      <c r="F19" s="27"/>
      <c r="G19" s="25"/>
      <c r="H19" s="23"/>
      <c r="I19" s="28"/>
      <c r="J19" s="49"/>
      <c r="K19" s="49"/>
      <c r="L19" s="49"/>
    </row>
    <row r="20" spans="1:12" ht="13.9" thickTop="1" thickBot="1">
      <c r="B20" s="79" t="s">
        <v>39</v>
      </c>
      <c r="C20" s="79"/>
      <c r="D20" s="79"/>
      <c r="E20" s="79"/>
      <c r="F20" s="79"/>
      <c r="G20" s="79"/>
      <c r="H20" s="30">
        <f>SUM(H13:H19)</f>
        <v>300</v>
      </c>
      <c r="J20" s="31"/>
      <c r="K20" s="50">
        <f>SUM(K$13:K19)</f>
        <v>300</v>
      </c>
      <c r="L20" s="50">
        <f>SUM(L$13:L19)</f>
        <v>0</v>
      </c>
    </row>
    <row r="21" spans="1:12" ht="13.5" thickTop="1"/>
    <row r="22" spans="1:12">
      <c r="G22" s="11" t="s">
        <v>40</v>
      </c>
      <c r="H22" s="24">
        <f>H20*3.6725</f>
        <v>1101.75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D32B90E6-90F2-4E39-9324-FEABF9F3F279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715A8-98FD-46C6-982F-63264EF5F8A5}">
  <sheetPr codeName="Sheet125">
    <tabColor rgb="FF92D050"/>
  </sheetPr>
  <dimension ref="A5:L22"/>
  <sheetViews>
    <sheetView zoomScaleNormal="100" workbookViewId="0">
      <selection activeCell="H8" sqref="H8"/>
    </sheetView>
  </sheetViews>
  <sheetFormatPr defaultColWidth="9.125" defaultRowHeight="13.15"/>
  <cols>
    <col min="1" max="1" width="9.125" style="11"/>
    <col min="2" max="2" width="5.875" style="11" bestFit="1" customWidth="1"/>
    <col min="3" max="3" width="13.6875" style="11" bestFit="1" customWidth="1"/>
    <col min="4" max="4" width="24.625" style="11" bestFit="1" customWidth="1"/>
    <col min="5" max="5" width="8.375" style="11" bestFit="1" customWidth="1"/>
    <col min="6" max="6" width="7.875" style="11" bestFit="1" customWidth="1"/>
    <col min="7" max="7" width="5.125" style="11" bestFit="1" customWidth="1"/>
    <col min="8" max="8" width="17.375" style="11" bestFit="1" customWidth="1"/>
    <col min="9" max="9" width="25.6875" style="11" bestFit="1" customWidth="1"/>
    <col min="10" max="10" width="9.6875" style="11" bestFit="1" customWidth="1"/>
    <col min="11" max="11" width="10.875" style="11" bestFit="1" customWidth="1"/>
    <col min="12" max="12" width="12.125" style="11" bestFit="1" customWidth="1"/>
    <col min="13" max="13" width="10.125" style="11" bestFit="1" customWidth="1"/>
    <col min="14" max="15" width="10.6875" style="11" customWidth="1"/>
    <col min="16" max="17" width="80.6875" style="11" customWidth="1"/>
    <col min="18" max="18" width="110.6875" style="11" customWidth="1"/>
    <col min="19" max="16384" width="9.125" style="11"/>
  </cols>
  <sheetData>
    <row r="5" spans="2:12" ht="13.5" thickBot="1"/>
    <row r="6" spans="2:12" ht="13.9" thickTop="1" thickBot="1">
      <c r="B6" s="11" t="s">
        <v>23</v>
      </c>
      <c r="H6" s="12" t="s">
        <v>24</v>
      </c>
      <c r="I6" s="13">
        <f ca="1">TODAY()</f>
        <v>45944</v>
      </c>
    </row>
    <row r="7" spans="2:12" ht="13.9" thickTop="1" thickBot="1">
      <c r="B7" s="77" t="s">
        <v>25</v>
      </c>
      <c r="C7" s="77"/>
      <c r="D7" s="77"/>
      <c r="H7" s="12" t="s">
        <v>26</v>
      </c>
      <c r="I7" s="14" t="s">
        <v>27</v>
      </c>
    </row>
    <row r="8" spans="2:12" ht="13.9" thickTop="1" thickBot="1">
      <c r="B8" s="78" t="s">
        <v>28</v>
      </c>
      <c r="C8" s="78"/>
      <c r="D8" s="78"/>
      <c r="H8" s="12" t="s">
        <v>29</v>
      </c>
      <c r="I8" s="15" t="s">
        <v>172</v>
      </c>
    </row>
    <row r="9" spans="2:12" ht="13.9" thickTop="1" thickBot="1">
      <c r="B9" s="78" t="s">
        <v>30</v>
      </c>
      <c r="C9" s="78"/>
      <c r="D9" s="78"/>
      <c r="H9" s="12" t="s">
        <v>31</v>
      </c>
      <c r="I9" s="16" t="s">
        <v>171</v>
      </c>
    </row>
    <row r="10" spans="2:12" ht="13.9" thickTop="1" thickBot="1">
      <c r="H10" s="12" t="s">
        <v>32</v>
      </c>
      <c r="I10" s="16" t="s">
        <v>173</v>
      </c>
    </row>
    <row r="11" spans="2:12" ht="13.9" thickTop="1" thickBot="1"/>
    <row r="12" spans="2:12" ht="13.9" thickTop="1" thickBot="1">
      <c r="B12" s="17" t="s">
        <v>1</v>
      </c>
      <c r="C12" s="17" t="s">
        <v>33</v>
      </c>
      <c r="D12" s="18" t="s">
        <v>34</v>
      </c>
      <c r="E12" s="18" t="s">
        <v>35</v>
      </c>
      <c r="F12" s="43" t="s">
        <v>243</v>
      </c>
      <c r="G12" s="18" t="s">
        <v>36</v>
      </c>
      <c r="H12" s="18" t="s">
        <v>37</v>
      </c>
      <c r="I12" s="18" t="s">
        <v>38</v>
      </c>
      <c r="J12" s="47" t="s">
        <v>264</v>
      </c>
      <c r="K12" s="47" t="s">
        <v>265</v>
      </c>
      <c r="L12" s="47" t="s">
        <v>266</v>
      </c>
    </row>
    <row r="13" spans="2:12" ht="13.9" thickTop="1" thickBot="1">
      <c r="B13" s="19">
        <v>1</v>
      </c>
      <c r="C13" s="19" t="s">
        <v>0</v>
      </c>
      <c r="D13" s="20" t="s">
        <v>48</v>
      </c>
      <c r="E13" s="21">
        <v>80</v>
      </c>
      <c r="F13" s="44"/>
      <c r="G13" s="22">
        <v>2</v>
      </c>
      <c r="H13" s="23">
        <f>E13*G13</f>
        <v>160</v>
      </c>
      <c r="I13" s="20" t="s">
        <v>51</v>
      </c>
      <c r="J13" s="31">
        <f t="shared" ref="J13:J14" si="0">ROUND($E13,2)</f>
        <v>80</v>
      </c>
      <c r="K13" s="31">
        <f t="shared" ref="K13:K14" si="1">J13*$G13</f>
        <v>160</v>
      </c>
      <c r="L13" s="31">
        <f t="shared" ref="L13:L14" si="2">K13-$H13</f>
        <v>0</v>
      </c>
    </row>
    <row r="14" spans="2:12" ht="13.9" thickTop="1" thickBot="1">
      <c r="B14" s="19">
        <v>2</v>
      </c>
      <c r="C14" s="19" t="s">
        <v>0</v>
      </c>
      <c r="D14" s="20" t="s">
        <v>49</v>
      </c>
      <c r="E14" s="21">
        <v>150</v>
      </c>
      <c r="F14" s="44"/>
      <c r="G14" s="22">
        <v>2</v>
      </c>
      <c r="H14" s="23">
        <f>E14*G14</f>
        <v>300</v>
      </c>
      <c r="I14" s="20" t="s">
        <v>51</v>
      </c>
      <c r="J14" s="31">
        <f t="shared" si="0"/>
        <v>150</v>
      </c>
      <c r="K14" s="31">
        <f t="shared" si="1"/>
        <v>300</v>
      </c>
      <c r="L14" s="31">
        <f t="shared" si="2"/>
        <v>0</v>
      </c>
    </row>
    <row r="15" spans="2:12" ht="13.9" thickTop="1" thickBot="1">
      <c r="B15" s="19"/>
      <c r="C15" s="19"/>
      <c r="D15" s="20"/>
      <c r="E15" s="21"/>
      <c r="F15" s="41"/>
      <c r="G15" s="22"/>
      <c r="H15" s="23">
        <f t="shared" ref="H15:H18" si="3">E15*G15</f>
        <v>0</v>
      </c>
      <c r="I15" s="20"/>
      <c r="J15" s="31"/>
      <c r="K15" s="31"/>
      <c r="L15" s="31"/>
    </row>
    <row r="16" spans="2:12" ht="13.9" thickTop="1" thickBot="1">
      <c r="B16" s="19"/>
      <c r="C16" s="19"/>
      <c r="D16" s="20"/>
      <c r="E16" s="21"/>
      <c r="F16" s="41"/>
      <c r="G16" s="22"/>
      <c r="H16" s="23">
        <f t="shared" si="3"/>
        <v>0</v>
      </c>
      <c r="I16" s="20"/>
      <c r="J16" s="31"/>
      <c r="K16" s="31"/>
      <c r="L16" s="31"/>
    </row>
    <row r="17" spans="1:12" ht="13.9" thickTop="1" thickBot="1">
      <c r="B17" s="19"/>
      <c r="C17" s="19"/>
      <c r="D17" s="20"/>
      <c r="E17" s="21"/>
      <c r="F17" s="41"/>
      <c r="G17" s="22"/>
      <c r="H17" s="23">
        <f t="shared" si="3"/>
        <v>0</v>
      </c>
      <c r="I17" s="20"/>
      <c r="J17" s="31"/>
      <c r="K17" s="31"/>
      <c r="L17" s="31"/>
    </row>
    <row r="18" spans="1:12" ht="13.9" thickTop="1" thickBot="1">
      <c r="B18" s="19"/>
      <c r="C18" s="19"/>
      <c r="D18" s="20"/>
      <c r="E18" s="21"/>
      <c r="F18" s="41"/>
      <c r="G18" s="22"/>
      <c r="H18" s="23">
        <f t="shared" si="3"/>
        <v>0</v>
      </c>
      <c r="I18" s="20"/>
      <c r="J18" s="31"/>
      <c r="K18" s="31"/>
      <c r="L18" s="31"/>
    </row>
    <row r="19" spans="1:12" s="29" customFormat="1" ht="13.9" thickTop="1" thickBot="1">
      <c r="A19" s="11"/>
      <c r="B19" s="25"/>
      <c r="C19" s="25"/>
      <c r="D19" s="26"/>
      <c r="E19" s="27"/>
      <c r="F19" s="27"/>
      <c r="G19" s="25"/>
      <c r="H19" s="23"/>
      <c r="I19" s="28"/>
      <c r="J19" s="49"/>
      <c r="K19" s="49"/>
      <c r="L19" s="49"/>
    </row>
    <row r="20" spans="1:12" ht="13.9" thickTop="1" thickBot="1">
      <c r="B20" s="79" t="s">
        <v>39</v>
      </c>
      <c r="C20" s="79"/>
      <c r="D20" s="79"/>
      <c r="E20" s="79"/>
      <c r="F20" s="79"/>
      <c r="G20" s="79"/>
      <c r="H20" s="30">
        <f>SUM(H13:H19)</f>
        <v>460</v>
      </c>
      <c r="J20" s="31"/>
      <c r="K20" s="50">
        <f>SUM(K$13:K19)</f>
        <v>460</v>
      </c>
      <c r="L20" s="50">
        <f>SUM(L$13:L19)</f>
        <v>0</v>
      </c>
    </row>
    <row r="21" spans="1:12" ht="13.5" thickTop="1"/>
    <row r="22" spans="1:12">
      <c r="G22" s="11" t="s">
        <v>40</v>
      </c>
      <c r="H22" s="24">
        <f>H20*3.6725</f>
        <v>1689.35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80AF2E56-5F3A-42BD-A1D7-5767A037F0E2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7253E-EE89-47F9-89C6-511042FA6E0F}">
  <sheetPr codeName="Sheet117">
    <tabColor rgb="FF92D050"/>
  </sheetPr>
  <dimension ref="A5:L22"/>
  <sheetViews>
    <sheetView zoomScaleNormal="100" workbookViewId="0">
      <selection activeCell="H8" sqref="H8"/>
    </sheetView>
  </sheetViews>
  <sheetFormatPr defaultColWidth="9.125" defaultRowHeight="13.15"/>
  <cols>
    <col min="1" max="1" width="9.125" style="11"/>
    <col min="2" max="2" width="5.875" style="11" bestFit="1" customWidth="1"/>
    <col min="3" max="3" width="13.6875" style="11" bestFit="1" customWidth="1"/>
    <col min="4" max="4" width="24.625" style="11" bestFit="1" customWidth="1"/>
    <col min="5" max="5" width="8.375" style="11" bestFit="1" customWidth="1"/>
    <col min="6" max="6" width="7.875" style="11" bestFit="1" customWidth="1"/>
    <col min="7" max="7" width="5.125" style="11" bestFit="1" customWidth="1"/>
    <col min="8" max="8" width="17.375" style="11" bestFit="1" customWidth="1"/>
    <col min="9" max="9" width="25.6875" style="11" bestFit="1" customWidth="1"/>
    <col min="10" max="10" width="9.6875" style="11" bestFit="1" customWidth="1"/>
    <col min="11" max="11" width="10.875" style="11" bestFit="1" customWidth="1"/>
    <col min="12" max="12" width="12.125" style="11" bestFit="1" customWidth="1"/>
    <col min="13" max="13" width="10.125" style="11" bestFit="1" customWidth="1"/>
    <col min="14" max="15" width="10.6875" style="11" customWidth="1"/>
    <col min="16" max="17" width="80.6875" style="11" customWidth="1"/>
    <col min="18" max="18" width="110.6875" style="11" customWidth="1"/>
    <col min="19" max="16384" width="9.125" style="11"/>
  </cols>
  <sheetData>
    <row r="5" spans="2:12" ht="13.5" thickBot="1"/>
    <row r="6" spans="2:12" ht="13.9" thickTop="1" thickBot="1">
      <c r="B6" s="11" t="s">
        <v>23</v>
      </c>
      <c r="H6" s="12" t="s">
        <v>24</v>
      </c>
      <c r="I6" s="13">
        <f ca="1">TODAY()</f>
        <v>45944</v>
      </c>
    </row>
    <row r="7" spans="2:12" ht="13.9" thickTop="1" thickBot="1">
      <c r="B7" s="77" t="s">
        <v>25</v>
      </c>
      <c r="C7" s="77"/>
      <c r="D7" s="77"/>
      <c r="H7" s="12" t="s">
        <v>26</v>
      </c>
      <c r="I7" s="14" t="s">
        <v>27</v>
      </c>
    </row>
    <row r="8" spans="2:12" ht="13.9" thickTop="1" thickBot="1">
      <c r="B8" s="78" t="s">
        <v>28</v>
      </c>
      <c r="C8" s="78"/>
      <c r="D8" s="78"/>
      <c r="H8" s="12" t="s">
        <v>29</v>
      </c>
      <c r="I8" s="15" t="s">
        <v>108</v>
      </c>
    </row>
    <row r="9" spans="2:12" ht="13.9" thickTop="1" thickBot="1">
      <c r="B9" s="78" t="s">
        <v>30</v>
      </c>
      <c r="C9" s="78"/>
      <c r="D9" s="78"/>
      <c r="H9" s="12" t="s">
        <v>31</v>
      </c>
      <c r="I9" s="16" t="s">
        <v>109</v>
      </c>
    </row>
    <row r="10" spans="2:12" ht="13.9" thickTop="1" thickBot="1">
      <c r="H10" s="12" t="s">
        <v>32</v>
      </c>
      <c r="I10" s="16" t="s">
        <v>110</v>
      </c>
    </row>
    <row r="11" spans="2:12" ht="13.9" thickTop="1" thickBot="1"/>
    <row r="12" spans="2:12" ht="13.9" thickTop="1" thickBot="1">
      <c r="B12" s="17" t="s">
        <v>1</v>
      </c>
      <c r="C12" s="17" t="s">
        <v>33</v>
      </c>
      <c r="D12" s="18" t="s">
        <v>34</v>
      </c>
      <c r="E12" s="18" t="s">
        <v>35</v>
      </c>
      <c r="F12" s="43" t="s">
        <v>243</v>
      </c>
      <c r="G12" s="18" t="s">
        <v>36</v>
      </c>
      <c r="H12" s="18" t="s">
        <v>37</v>
      </c>
      <c r="I12" s="18" t="s">
        <v>38</v>
      </c>
      <c r="J12" s="47" t="s">
        <v>264</v>
      </c>
      <c r="K12" s="47" t="s">
        <v>265</v>
      </c>
      <c r="L12" s="47" t="s">
        <v>266</v>
      </c>
    </row>
    <row r="13" spans="2:12" ht="13.9" thickTop="1" thickBot="1">
      <c r="B13" s="19">
        <v>1</v>
      </c>
      <c r="C13" s="19" t="s">
        <v>0</v>
      </c>
      <c r="D13" s="20" t="s">
        <v>48</v>
      </c>
      <c r="E13" s="21">
        <v>80</v>
      </c>
      <c r="F13" s="44"/>
      <c r="G13" s="22">
        <v>1</v>
      </c>
      <c r="H13" s="23">
        <f>E13*G13</f>
        <v>80</v>
      </c>
      <c r="I13" s="20" t="s">
        <v>51</v>
      </c>
      <c r="J13" s="31">
        <f t="shared" ref="J13:J14" si="0">ROUND($E13,2)</f>
        <v>80</v>
      </c>
      <c r="K13" s="31">
        <f t="shared" ref="K13:K14" si="1">J13*$G13</f>
        <v>80</v>
      </c>
      <c r="L13" s="31">
        <f t="shared" ref="L13:L14" si="2">K13-$H13</f>
        <v>0</v>
      </c>
    </row>
    <row r="14" spans="2:12" ht="13.9" thickTop="1" thickBot="1">
      <c r="B14" s="19">
        <v>2</v>
      </c>
      <c r="C14" s="19" t="s">
        <v>0</v>
      </c>
      <c r="D14" s="20" t="s">
        <v>49</v>
      </c>
      <c r="E14" s="21">
        <v>150</v>
      </c>
      <c r="F14" s="44"/>
      <c r="G14" s="22">
        <v>1</v>
      </c>
      <c r="H14" s="23">
        <f>E14*G14</f>
        <v>150</v>
      </c>
      <c r="I14" s="20" t="s">
        <v>51</v>
      </c>
      <c r="J14" s="31">
        <f t="shared" si="0"/>
        <v>150</v>
      </c>
      <c r="K14" s="31">
        <f t="shared" si="1"/>
        <v>150</v>
      </c>
      <c r="L14" s="31">
        <f t="shared" si="2"/>
        <v>0</v>
      </c>
    </row>
    <row r="15" spans="2:12" ht="13.9" thickTop="1" thickBot="1">
      <c r="B15" s="19"/>
      <c r="C15" s="19"/>
      <c r="D15" s="20"/>
      <c r="E15" s="21"/>
      <c r="F15" s="41"/>
      <c r="G15" s="22"/>
      <c r="H15" s="23">
        <f t="shared" ref="H15:H18" si="3">E15*G15</f>
        <v>0</v>
      </c>
      <c r="I15" s="20"/>
      <c r="J15" s="31"/>
      <c r="K15" s="31"/>
      <c r="L15" s="31"/>
    </row>
    <row r="16" spans="2:12" ht="13.9" thickTop="1" thickBot="1">
      <c r="B16" s="19"/>
      <c r="C16" s="19"/>
      <c r="D16" s="20"/>
      <c r="E16" s="21"/>
      <c r="F16" s="41"/>
      <c r="G16" s="22"/>
      <c r="H16" s="23">
        <f t="shared" si="3"/>
        <v>0</v>
      </c>
      <c r="I16" s="20"/>
      <c r="J16" s="31"/>
      <c r="K16" s="31"/>
      <c r="L16" s="31"/>
    </row>
    <row r="17" spans="1:12" ht="13.9" thickTop="1" thickBot="1">
      <c r="B17" s="19"/>
      <c r="C17" s="19"/>
      <c r="D17" s="20"/>
      <c r="E17" s="21"/>
      <c r="F17" s="41"/>
      <c r="G17" s="22"/>
      <c r="H17" s="23">
        <f t="shared" si="3"/>
        <v>0</v>
      </c>
      <c r="I17" s="20"/>
      <c r="J17" s="31"/>
      <c r="K17" s="31"/>
      <c r="L17" s="31"/>
    </row>
    <row r="18" spans="1:12" ht="13.9" thickTop="1" thickBot="1">
      <c r="B18" s="19"/>
      <c r="C18" s="19"/>
      <c r="D18" s="20"/>
      <c r="E18" s="21"/>
      <c r="F18" s="41"/>
      <c r="G18" s="22"/>
      <c r="H18" s="23">
        <f t="shared" si="3"/>
        <v>0</v>
      </c>
      <c r="I18" s="20"/>
      <c r="J18" s="31"/>
      <c r="K18" s="31"/>
      <c r="L18" s="31"/>
    </row>
    <row r="19" spans="1:12" s="29" customFormat="1" ht="13.9" thickTop="1" thickBot="1">
      <c r="A19" s="11"/>
      <c r="B19" s="25"/>
      <c r="C19" s="25"/>
      <c r="D19" s="26"/>
      <c r="E19" s="27"/>
      <c r="F19" s="27"/>
      <c r="G19" s="25"/>
      <c r="H19" s="23"/>
      <c r="I19" s="28"/>
      <c r="J19" s="49"/>
      <c r="K19" s="49"/>
      <c r="L19" s="49"/>
    </row>
    <row r="20" spans="1:12" ht="13.9" thickTop="1" thickBot="1">
      <c r="B20" s="79" t="s">
        <v>39</v>
      </c>
      <c r="C20" s="79"/>
      <c r="D20" s="79"/>
      <c r="E20" s="79"/>
      <c r="F20" s="79"/>
      <c r="G20" s="79"/>
      <c r="H20" s="30">
        <f>SUM(H13:H19)</f>
        <v>230</v>
      </c>
      <c r="J20" s="31"/>
      <c r="K20" s="50">
        <f>SUM(K$13:K19)</f>
        <v>230</v>
      </c>
      <c r="L20" s="50">
        <f>SUM(L$13:L19)</f>
        <v>0</v>
      </c>
    </row>
    <row r="21" spans="1:12" ht="13.5" thickTop="1"/>
    <row r="22" spans="1:12">
      <c r="G22" s="11" t="s">
        <v>40</v>
      </c>
      <c r="H22" s="24">
        <f>H20*3.6725</f>
        <v>844.67499999999995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DA3AE933-D1E1-49EE-AF57-C9E78F80A0FD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1B14B-E95A-4573-85E0-19E894692E75}">
  <sheetPr codeName="Sheet126">
    <tabColor rgb="FF92D050"/>
  </sheetPr>
  <dimension ref="A5:L22"/>
  <sheetViews>
    <sheetView zoomScaleNormal="100" workbookViewId="0"/>
  </sheetViews>
  <sheetFormatPr defaultColWidth="9.125" defaultRowHeight="13.15"/>
  <cols>
    <col min="1" max="1" width="9.125" style="11"/>
    <col min="2" max="2" width="5.875" style="11" bestFit="1" customWidth="1"/>
    <col min="3" max="3" width="13.6875" style="11" bestFit="1" customWidth="1"/>
    <col min="4" max="4" width="24.625" style="11" bestFit="1" customWidth="1"/>
    <col min="5" max="5" width="8.375" style="11" bestFit="1" customWidth="1"/>
    <col min="6" max="6" width="7.875" style="11" bestFit="1" customWidth="1"/>
    <col min="7" max="7" width="5.125" style="11" bestFit="1" customWidth="1"/>
    <col min="8" max="8" width="17.375" style="11" bestFit="1" customWidth="1"/>
    <col min="9" max="9" width="25.6875" style="11" bestFit="1" customWidth="1"/>
    <col min="10" max="10" width="9.6875" style="11" bestFit="1" customWidth="1"/>
    <col min="11" max="11" width="10.875" style="11" bestFit="1" customWidth="1"/>
    <col min="12" max="12" width="12.125" style="11" bestFit="1" customWidth="1"/>
    <col min="13" max="13" width="10.125" style="11" bestFit="1" customWidth="1"/>
    <col min="14" max="15" width="10.6875" style="11" customWidth="1"/>
    <col min="16" max="17" width="80.6875" style="11" customWidth="1"/>
    <col min="18" max="18" width="110.6875" style="11" customWidth="1"/>
    <col min="19" max="16384" width="9.125" style="11"/>
  </cols>
  <sheetData>
    <row r="5" spans="2:12" ht="13.5" thickBot="1"/>
    <row r="6" spans="2:12" ht="13.9" thickTop="1" thickBot="1">
      <c r="B6" s="11" t="s">
        <v>23</v>
      </c>
      <c r="H6" s="12" t="s">
        <v>24</v>
      </c>
      <c r="I6" s="13">
        <f ca="1">TODAY()</f>
        <v>45944</v>
      </c>
    </row>
    <row r="7" spans="2:12" ht="13.9" thickTop="1" thickBot="1">
      <c r="B7" s="77" t="s">
        <v>25</v>
      </c>
      <c r="C7" s="77"/>
      <c r="D7" s="77"/>
      <c r="H7" s="12" t="s">
        <v>26</v>
      </c>
      <c r="I7" s="14" t="s">
        <v>27</v>
      </c>
    </row>
    <row r="8" spans="2:12" ht="13.9" thickTop="1" thickBot="1">
      <c r="B8" s="78" t="s">
        <v>28</v>
      </c>
      <c r="C8" s="78"/>
      <c r="D8" s="78"/>
      <c r="H8" s="12" t="s">
        <v>29</v>
      </c>
      <c r="I8" s="15" t="s">
        <v>178</v>
      </c>
    </row>
    <row r="9" spans="2:12" ht="13.9" thickTop="1" thickBot="1">
      <c r="B9" s="78" t="s">
        <v>30</v>
      </c>
      <c r="C9" s="78"/>
      <c r="D9" s="78"/>
      <c r="H9" s="12" t="s">
        <v>31</v>
      </c>
      <c r="I9" s="16" t="s">
        <v>177</v>
      </c>
    </row>
    <row r="10" spans="2:12" ht="13.9" thickTop="1" thickBot="1">
      <c r="H10" s="12" t="s">
        <v>32</v>
      </c>
      <c r="I10" s="16" t="s">
        <v>179</v>
      </c>
    </row>
    <row r="11" spans="2:12" ht="13.9" thickTop="1" thickBot="1"/>
    <row r="12" spans="2:12" ht="13.9" thickTop="1" thickBot="1">
      <c r="B12" s="17" t="s">
        <v>1</v>
      </c>
      <c r="C12" s="17" t="s">
        <v>33</v>
      </c>
      <c r="D12" s="18" t="s">
        <v>34</v>
      </c>
      <c r="E12" s="18" t="s">
        <v>35</v>
      </c>
      <c r="F12" s="43" t="s">
        <v>243</v>
      </c>
      <c r="G12" s="18" t="s">
        <v>36</v>
      </c>
      <c r="H12" s="18" t="s">
        <v>37</v>
      </c>
      <c r="I12" s="18" t="s">
        <v>38</v>
      </c>
      <c r="J12" s="47" t="s">
        <v>264</v>
      </c>
      <c r="K12" s="47" t="s">
        <v>265</v>
      </c>
      <c r="L12" s="47" t="s">
        <v>266</v>
      </c>
    </row>
    <row r="13" spans="2:12" ht="13.9" thickTop="1" thickBot="1">
      <c r="B13" s="19">
        <v>1</v>
      </c>
      <c r="C13" s="19" t="s">
        <v>0</v>
      </c>
      <c r="D13" s="20" t="s">
        <v>48</v>
      </c>
      <c r="E13" s="21">
        <v>80</v>
      </c>
      <c r="F13" s="44"/>
      <c r="G13" s="22">
        <v>1</v>
      </c>
      <c r="H13" s="23">
        <f>E13*G13</f>
        <v>80</v>
      </c>
      <c r="I13" s="20" t="s">
        <v>51</v>
      </c>
      <c r="J13" s="31">
        <f t="shared" ref="J13:J14" si="0">ROUND($E13,2)</f>
        <v>80</v>
      </c>
      <c r="K13" s="31">
        <f t="shared" ref="K13:K14" si="1">J13*$G13</f>
        <v>80</v>
      </c>
      <c r="L13" s="31">
        <f t="shared" ref="L13:L14" si="2">K13-$H13</f>
        <v>0</v>
      </c>
    </row>
    <row r="14" spans="2:12" ht="13.9" thickTop="1" thickBot="1">
      <c r="B14" s="19">
        <v>2</v>
      </c>
      <c r="C14" s="19" t="s">
        <v>0</v>
      </c>
      <c r="D14" s="20" t="s">
        <v>49</v>
      </c>
      <c r="E14" s="21">
        <v>150</v>
      </c>
      <c r="F14" s="44"/>
      <c r="G14" s="22">
        <v>1</v>
      </c>
      <c r="H14" s="23">
        <f>E14*G14</f>
        <v>150</v>
      </c>
      <c r="I14" s="20" t="s">
        <v>51</v>
      </c>
      <c r="J14" s="31">
        <f t="shared" si="0"/>
        <v>150</v>
      </c>
      <c r="K14" s="31">
        <f t="shared" si="1"/>
        <v>150</v>
      </c>
      <c r="L14" s="31">
        <f t="shared" si="2"/>
        <v>0</v>
      </c>
    </row>
    <row r="15" spans="2:12" ht="13.9" thickTop="1" thickBot="1">
      <c r="B15" s="19"/>
      <c r="C15" s="19"/>
      <c r="D15" s="20"/>
      <c r="E15" s="21"/>
      <c r="F15" s="41"/>
      <c r="G15" s="22"/>
      <c r="H15" s="23">
        <f t="shared" ref="H15:H18" si="3">E15*G15</f>
        <v>0</v>
      </c>
      <c r="I15" s="20"/>
      <c r="J15" s="31"/>
      <c r="K15" s="31"/>
      <c r="L15" s="31"/>
    </row>
    <row r="16" spans="2:12" ht="13.9" thickTop="1" thickBot="1">
      <c r="B16" s="19"/>
      <c r="C16" s="19"/>
      <c r="D16" s="20"/>
      <c r="E16" s="21"/>
      <c r="F16" s="41"/>
      <c r="G16" s="22"/>
      <c r="H16" s="23">
        <f t="shared" si="3"/>
        <v>0</v>
      </c>
      <c r="I16" s="20"/>
      <c r="J16" s="31"/>
      <c r="K16" s="31"/>
      <c r="L16" s="31"/>
    </row>
    <row r="17" spans="1:12" ht="13.9" thickTop="1" thickBot="1">
      <c r="B17" s="19"/>
      <c r="C17" s="19"/>
      <c r="D17" s="20"/>
      <c r="E17" s="21"/>
      <c r="F17" s="41"/>
      <c r="G17" s="22"/>
      <c r="H17" s="23">
        <f t="shared" si="3"/>
        <v>0</v>
      </c>
      <c r="I17" s="20"/>
      <c r="J17" s="31"/>
      <c r="K17" s="31"/>
      <c r="L17" s="31"/>
    </row>
    <row r="18" spans="1:12" ht="13.9" thickTop="1" thickBot="1">
      <c r="B18" s="19"/>
      <c r="C18" s="19"/>
      <c r="D18" s="20"/>
      <c r="E18" s="21"/>
      <c r="F18" s="41"/>
      <c r="G18" s="22"/>
      <c r="H18" s="23">
        <f t="shared" si="3"/>
        <v>0</v>
      </c>
      <c r="I18" s="20"/>
      <c r="J18" s="31"/>
      <c r="K18" s="31"/>
      <c r="L18" s="31"/>
    </row>
    <row r="19" spans="1:12" s="29" customFormat="1" ht="13.9" thickTop="1" thickBot="1">
      <c r="A19" s="11"/>
      <c r="B19" s="25"/>
      <c r="C19" s="25"/>
      <c r="D19" s="26"/>
      <c r="E19" s="27"/>
      <c r="F19" s="27"/>
      <c r="G19" s="25"/>
      <c r="H19" s="23"/>
      <c r="I19" s="28"/>
      <c r="J19" s="49"/>
      <c r="K19" s="49"/>
      <c r="L19" s="49"/>
    </row>
    <row r="20" spans="1:12" ht="13.9" thickTop="1" thickBot="1">
      <c r="B20" s="79" t="s">
        <v>39</v>
      </c>
      <c r="C20" s="79"/>
      <c r="D20" s="79"/>
      <c r="E20" s="79"/>
      <c r="F20" s="79"/>
      <c r="G20" s="79"/>
      <c r="H20" s="30">
        <f>SUM(H13:H19)</f>
        <v>230</v>
      </c>
      <c r="J20" s="31"/>
      <c r="K20" s="50">
        <f>SUM(K$13:K19)</f>
        <v>230</v>
      </c>
      <c r="L20" s="50">
        <f>SUM(L$13:L19)</f>
        <v>0</v>
      </c>
    </row>
    <row r="21" spans="1:12" ht="13.5" thickTop="1"/>
    <row r="22" spans="1:12">
      <c r="G22" s="11" t="s">
        <v>40</v>
      </c>
      <c r="H22" s="24">
        <f>H20*3.6725</f>
        <v>844.67499999999995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9BC8FB0B-6D4A-4705-A293-9CE4831C8C06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6A49E-BDE3-42A0-9F2B-BFC47A833805}">
  <sheetPr codeName="Sheet127">
    <tabColor rgb="FF92D050"/>
  </sheetPr>
  <dimension ref="A5:L22"/>
  <sheetViews>
    <sheetView zoomScaleNormal="100" workbookViewId="0">
      <selection activeCell="H8" sqref="H8"/>
    </sheetView>
  </sheetViews>
  <sheetFormatPr defaultColWidth="9.125" defaultRowHeight="13.15"/>
  <cols>
    <col min="1" max="1" width="9.125" style="11"/>
    <col min="2" max="2" width="5.875" style="11" bestFit="1" customWidth="1"/>
    <col min="3" max="3" width="13.6875" style="11" bestFit="1" customWidth="1"/>
    <col min="4" max="4" width="24.625" style="11" bestFit="1" customWidth="1"/>
    <col min="5" max="5" width="8.375" style="11" bestFit="1" customWidth="1"/>
    <col min="6" max="6" width="7.875" style="11" bestFit="1" customWidth="1"/>
    <col min="7" max="7" width="5.125" style="11" bestFit="1" customWidth="1"/>
    <col min="8" max="8" width="17.375" style="11" bestFit="1" customWidth="1"/>
    <col min="9" max="9" width="26.875" style="11" bestFit="1" customWidth="1"/>
    <col min="10" max="10" width="9.6875" style="11" bestFit="1" customWidth="1"/>
    <col min="11" max="11" width="10.875" style="11" bestFit="1" customWidth="1"/>
    <col min="12" max="12" width="12.125" style="11" bestFit="1" customWidth="1"/>
    <col min="13" max="13" width="10.125" style="11" bestFit="1" customWidth="1"/>
    <col min="14" max="15" width="10.6875" style="11" customWidth="1"/>
    <col min="16" max="17" width="80.6875" style="11" customWidth="1"/>
    <col min="18" max="18" width="110.6875" style="11" customWidth="1"/>
    <col min="19" max="16384" width="9.125" style="11"/>
  </cols>
  <sheetData>
    <row r="5" spans="2:12" ht="13.5" thickBot="1"/>
    <row r="6" spans="2:12" ht="13.9" thickTop="1" thickBot="1">
      <c r="B6" s="11" t="s">
        <v>23</v>
      </c>
      <c r="H6" s="12" t="s">
        <v>24</v>
      </c>
      <c r="I6" s="13">
        <f ca="1">TODAY()</f>
        <v>45944</v>
      </c>
    </row>
    <row r="7" spans="2:12" ht="13.9" thickTop="1" thickBot="1">
      <c r="B7" s="77" t="s">
        <v>25</v>
      </c>
      <c r="C7" s="77"/>
      <c r="D7" s="77"/>
      <c r="H7" s="12" t="s">
        <v>26</v>
      </c>
      <c r="I7" s="14" t="s">
        <v>27</v>
      </c>
    </row>
    <row r="8" spans="2:12" ht="13.9" thickTop="1" thickBot="1">
      <c r="B8" s="78" t="s">
        <v>28</v>
      </c>
      <c r="C8" s="78"/>
      <c r="D8" s="78"/>
      <c r="H8" s="12" t="s">
        <v>29</v>
      </c>
      <c r="I8" s="15" t="s">
        <v>182</v>
      </c>
    </row>
    <row r="9" spans="2:12" ht="13.9" thickTop="1" thickBot="1">
      <c r="B9" s="78" t="s">
        <v>30</v>
      </c>
      <c r="C9" s="78"/>
      <c r="D9" s="78"/>
      <c r="H9" s="12" t="s">
        <v>31</v>
      </c>
      <c r="I9" s="16" t="s">
        <v>181</v>
      </c>
    </row>
    <row r="10" spans="2:12" ht="13.9" thickTop="1" thickBot="1">
      <c r="H10" s="12" t="s">
        <v>32</v>
      </c>
      <c r="I10" s="16" t="s">
        <v>183</v>
      </c>
    </row>
    <row r="11" spans="2:12" ht="13.9" thickTop="1" thickBot="1"/>
    <row r="12" spans="2:12" ht="13.9" thickTop="1" thickBot="1">
      <c r="B12" s="17" t="s">
        <v>1</v>
      </c>
      <c r="C12" s="17" t="s">
        <v>33</v>
      </c>
      <c r="D12" s="18" t="s">
        <v>34</v>
      </c>
      <c r="E12" s="18" t="s">
        <v>35</v>
      </c>
      <c r="F12" s="43" t="s">
        <v>243</v>
      </c>
      <c r="G12" s="18" t="s">
        <v>36</v>
      </c>
      <c r="H12" s="18" t="s">
        <v>37</v>
      </c>
      <c r="I12" s="18" t="s">
        <v>38</v>
      </c>
      <c r="J12" s="47" t="s">
        <v>264</v>
      </c>
      <c r="K12" s="47" t="s">
        <v>265</v>
      </c>
      <c r="L12" s="47" t="s">
        <v>266</v>
      </c>
    </row>
    <row r="13" spans="2:12" ht="13.9" thickTop="1" thickBot="1">
      <c r="B13" s="19">
        <v>1</v>
      </c>
      <c r="C13" s="19" t="s">
        <v>0</v>
      </c>
      <c r="D13" s="20" t="s">
        <v>48</v>
      </c>
      <c r="E13" s="21">
        <v>80</v>
      </c>
      <c r="F13" s="44"/>
      <c r="G13" s="22">
        <v>2</v>
      </c>
      <c r="H13" s="23">
        <f>E13*G13</f>
        <v>160</v>
      </c>
      <c r="I13" s="20" t="s">
        <v>51</v>
      </c>
      <c r="J13" s="31">
        <f t="shared" ref="J13:J14" si="0">ROUND($E13,2)</f>
        <v>80</v>
      </c>
      <c r="K13" s="31">
        <f t="shared" ref="K13:K14" si="1">J13*$G13</f>
        <v>160</v>
      </c>
      <c r="L13" s="31">
        <f t="shared" ref="L13:L14" si="2">K13-$H13</f>
        <v>0</v>
      </c>
    </row>
    <row r="14" spans="2:12" ht="13.9" thickTop="1" thickBot="1">
      <c r="B14" s="19">
        <v>2</v>
      </c>
      <c r="C14" s="19" t="s">
        <v>0</v>
      </c>
      <c r="D14" s="20" t="s">
        <v>49</v>
      </c>
      <c r="E14" s="21">
        <v>150</v>
      </c>
      <c r="F14" s="44"/>
      <c r="G14" s="22">
        <v>2</v>
      </c>
      <c r="H14" s="23">
        <f>E14*G14</f>
        <v>300</v>
      </c>
      <c r="I14" s="20" t="s">
        <v>51</v>
      </c>
      <c r="J14" s="31">
        <f t="shared" si="0"/>
        <v>150</v>
      </c>
      <c r="K14" s="31">
        <f t="shared" si="1"/>
        <v>300</v>
      </c>
      <c r="L14" s="31">
        <f t="shared" si="2"/>
        <v>0</v>
      </c>
    </row>
    <row r="15" spans="2:12" ht="13.9" thickTop="1" thickBot="1">
      <c r="B15" s="19"/>
      <c r="C15" s="19"/>
      <c r="D15" s="20"/>
      <c r="E15" s="21"/>
      <c r="F15" s="41"/>
      <c r="G15" s="22"/>
      <c r="H15" s="23">
        <f t="shared" ref="H15:H18" si="3">E15*G15</f>
        <v>0</v>
      </c>
      <c r="I15" s="20"/>
      <c r="J15" s="31"/>
      <c r="K15" s="31"/>
      <c r="L15" s="31"/>
    </row>
    <row r="16" spans="2:12" ht="13.9" thickTop="1" thickBot="1">
      <c r="B16" s="19"/>
      <c r="C16" s="19"/>
      <c r="D16" s="20"/>
      <c r="E16" s="21"/>
      <c r="F16" s="41"/>
      <c r="G16" s="22"/>
      <c r="H16" s="23">
        <f t="shared" si="3"/>
        <v>0</v>
      </c>
      <c r="I16" s="20"/>
      <c r="J16" s="31"/>
      <c r="K16" s="31"/>
      <c r="L16" s="31"/>
    </row>
    <row r="17" spans="1:12" ht="13.9" thickTop="1" thickBot="1">
      <c r="B17" s="19"/>
      <c r="C17" s="19"/>
      <c r="D17" s="20"/>
      <c r="E17" s="21"/>
      <c r="F17" s="41"/>
      <c r="G17" s="22"/>
      <c r="H17" s="23">
        <f t="shared" si="3"/>
        <v>0</v>
      </c>
      <c r="I17" s="20"/>
      <c r="J17" s="31"/>
      <c r="K17" s="31"/>
      <c r="L17" s="31"/>
    </row>
    <row r="18" spans="1:12" ht="13.9" thickTop="1" thickBot="1">
      <c r="B18" s="19"/>
      <c r="C18" s="19"/>
      <c r="D18" s="20"/>
      <c r="E18" s="21"/>
      <c r="F18" s="41"/>
      <c r="G18" s="22"/>
      <c r="H18" s="23">
        <f t="shared" si="3"/>
        <v>0</v>
      </c>
      <c r="I18" s="20"/>
      <c r="J18" s="31"/>
      <c r="K18" s="31"/>
      <c r="L18" s="31"/>
    </row>
    <row r="19" spans="1:12" s="29" customFormat="1" ht="13.9" thickTop="1" thickBot="1">
      <c r="A19" s="11"/>
      <c r="B19" s="25"/>
      <c r="C19" s="25"/>
      <c r="D19" s="26"/>
      <c r="E19" s="27"/>
      <c r="F19" s="27"/>
      <c r="G19" s="25"/>
      <c r="H19" s="23"/>
      <c r="I19" s="28"/>
      <c r="J19" s="49"/>
      <c r="K19" s="49"/>
      <c r="L19" s="49"/>
    </row>
    <row r="20" spans="1:12" ht="13.9" thickTop="1" thickBot="1">
      <c r="B20" s="79" t="s">
        <v>39</v>
      </c>
      <c r="C20" s="79"/>
      <c r="D20" s="79"/>
      <c r="E20" s="79"/>
      <c r="F20" s="79"/>
      <c r="G20" s="79"/>
      <c r="H20" s="30">
        <f>SUM(H13:H19)</f>
        <v>460</v>
      </c>
      <c r="J20" s="31"/>
      <c r="K20" s="50">
        <f>SUM(K$13:K19)</f>
        <v>460</v>
      </c>
      <c r="L20" s="50">
        <f>SUM(L$13:L19)</f>
        <v>0</v>
      </c>
    </row>
    <row r="21" spans="1:12" ht="13.5" thickTop="1"/>
    <row r="22" spans="1:12">
      <c r="G22" s="11" t="s">
        <v>40</v>
      </c>
      <c r="H22" s="24">
        <f>H20*3.6725</f>
        <v>1689.35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42F144A0-6DA8-4D2E-9571-2833938450D2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065D1-EDCD-44A4-A852-37AEFC53B5DA}">
  <sheetPr codeName="Sheet128">
    <tabColor rgb="FF92D050"/>
  </sheetPr>
  <dimension ref="A5:L22"/>
  <sheetViews>
    <sheetView zoomScaleNormal="100" workbookViewId="0"/>
  </sheetViews>
  <sheetFormatPr defaultColWidth="9.125" defaultRowHeight="13.15"/>
  <cols>
    <col min="1" max="1" width="9.125" style="11"/>
    <col min="2" max="2" width="5.875" style="11" bestFit="1" customWidth="1"/>
    <col min="3" max="3" width="13.6875" style="11" bestFit="1" customWidth="1"/>
    <col min="4" max="4" width="24.625" style="11" bestFit="1" customWidth="1"/>
    <col min="5" max="5" width="8.375" style="11" bestFit="1" customWidth="1"/>
    <col min="6" max="6" width="7.875" style="11" bestFit="1" customWidth="1"/>
    <col min="7" max="7" width="5.125" style="11" bestFit="1" customWidth="1"/>
    <col min="8" max="8" width="17.375" style="11" bestFit="1" customWidth="1"/>
    <col min="9" max="9" width="25.6875" style="11" bestFit="1" customWidth="1"/>
    <col min="10" max="10" width="9.6875" style="11" bestFit="1" customWidth="1"/>
    <col min="11" max="11" width="10.875" style="11" bestFit="1" customWidth="1"/>
    <col min="12" max="12" width="12.125" style="11" bestFit="1" customWidth="1"/>
    <col min="13" max="13" width="10.125" style="11" bestFit="1" customWidth="1"/>
    <col min="14" max="15" width="10.6875" style="11" customWidth="1"/>
    <col min="16" max="17" width="80.6875" style="11" customWidth="1"/>
    <col min="18" max="18" width="110.6875" style="11" customWidth="1"/>
    <col min="19" max="16384" width="9.125" style="11"/>
  </cols>
  <sheetData>
    <row r="5" spans="2:12" ht="13.5" thickBot="1"/>
    <row r="6" spans="2:12" ht="13.9" thickTop="1" thickBot="1">
      <c r="B6" s="11" t="s">
        <v>23</v>
      </c>
      <c r="H6" s="12" t="s">
        <v>24</v>
      </c>
      <c r="I6" s="13">
        <f ca="1">TODAY()</f>
        <v>45944</v>
      </c>
    </row>
    <row r="7" spans="2:12" ht="13.9" thickTop="1" thickBot="1">
      <c r="B7" s="77" t="s">
        <v>25</v>
      </c>
      <c r="C7" s="77"/>
      <c r="D7" s="77"/>
      <c r="H7" s="12" t="s">
        <v>26</v>
      </c>
      <c r="I7" s="14" t="s">
        <v>27</v>
      </c>
    </row>
    <row r="8" spans="2:12" ht="13.9" thickTop="1" thickBot="1">
      <c r="B8" s="78" t="s">
        <v>28</v>
      </c>
      <c r="C8" s="78"/>
      <c r="D8" s="78"/>
      <c r="H8" s="12" t="s">
        <v>29</v>
      </c>
      <c r="I8" s="15" t="s">
        <v>187</v>
      </c>
    </row>
    <row r="9" spans="2:12" ht="13.9" thickTop="1" thickBot="1">
      <c r="B9" s="78" t="s">
        <v>30</v>
      </c>
      <c r="C9" s="78"/>
      <c r="D9" s="78"/>
      <c r="H9" s="12" t="s">
        <v>31</v>
      </c>
      <c r="I9" s="16" t="s">
        <v>185</v>
      </c>
    </row>
    <row r="10" spans="2:12" ht="13.9" thickTop="1" thickBot="1">
      <c r="H10" s="12" t="s">
        <v>32</v>
      </c>
      <c r="I10" s="16" t="s">
        <v>186</v>
      </c>
    </row>
    <row r="11" spans="2:12" ht="13.9" thickTop="1" thickBot="1"/>
    <row r="12" spans="2:12" ht="13.9" thickTop="1" thickBot="1">
      <c r="B12" s="17" t="s">
        <v>1</v>
      </c>
      <c r="C12" s="17" t="s">
        <v>33</v>
      </c>
      <c r="D12" s="18" t="s">
        <v>34</v>
      </c>
      <c r="E12" s="18" t="s">
        <v>35</v>
      </c>
      <c r="F12" s="43" t="s">
        <v>243</v>
      </c>
      <c r="G12" s="18" t="s">
        <v>36</v>
      </c>
      <c r="H12" s="18" t="s">
        <v>37</v>
      </c>
      <c r="I12" s="18" t="s">
        <v>38</v>
      </c>
      <c r="J12" s="47" t="s">
        <v>264</v>
      </c>
      <c r="K12" s="47" t="s">
        <v>265</v>
      </c>
      <c r="L12" s="47" t="s">
        <v>266</v>
      </c>
    </row>
    <row r="13" spans="2:12" ht="13.9" thickTop="1" thickBot="1">
      <c r="B13" s="19">
        <v>1</v>
      </c>
      <c r="C13" s="19" t="s">
        <v>0</v>
      </c>
      <c r="D13" s="20" t="s">
        <v>48</v>
      </c>
      <c r="E13" s="21">
        <v>80</v>
      </c>
      <c r="F13" s="44"/>
      <c r="G13" s="22">
        <v>1</v>
      </c>
      <c r="H13" s="23">
        <f>E13*G13</f>
        <v>80</v>
      </c>
      <c r="I13" s="20" t="s">
        <v>51</v>
      </c>
      <c r="J13" s="31">
        <f t="shared" ref="J13:J14" si="0">ROUND($E13,2)</f>
        <v>80</v>
      </c>
      <c r="K13" s="31">
        <f t="shared" ref="K13:K14" si="1">J13*$G13</f>
        <v>80</v>
      </c>
      <c r="L13" s="31">
        <f t="shared" ref="L13:L14" si="2">K13-$H13</f>
        <v>0</v>
      </c>
    </row>
    <row r="14" spans="2:12" ht="13.9" thickTop="1" thickBot="1">
      <c r="B14" s="19">
        <v>2</v>
      </c>
      <c r="C14" s="19" t="s">
        <v>0</v>
      </c>
      <c r="D14" s="20" t="s">
        <v>49</v>
      </c>
      <c r="E14" s="21">
        <v>150</v>
      </c>
      <c r="F14" s="44"/>
      <c r="G14" s="22">
        <v>1</v>
      </c>
      <c r="H14" s="23">
        <f>E14*G14</f>
        <v>150</v>
      </c>
      <c r="I14" s="20" t="s">
        <v>51</v>
      </c>
      <c r="J14" s="31">
        <f t="shared" si="0"/>
        <v>150</v>
      </c>
      <c r="K14" s="31">
        <f t="shared" si="1"/>
        <v>150</v>
      </c>
      <c r="L14" s="31">
        <f t="shared" si="2"/>
        <v>0</v>
      </c>
    </row>
    <row r="15" spans="2:12" ht="13.9" thickTop="1" thickBot="1">
      <c r="B15" s="19"/>
      <c r="C15" s="19"/>
      <c r="D15" s="20"/>
      <c r="E15" s="21"/>
      <c r="F15" s="41"/>
      <c r="G15" s="22"/>
      <c r="H15" s="23">
        <f t="shared" ref="H15:H18" si="3">E15*G15</f>
        <v>0</v>
      </c>
      <c r="I15" s="20"/>
      <c r="J15" s="31"/>
      <c r="K15" s="31"/>
      <c r="L15" s="31"/>
    </row>
    <row r="16" spans="2:12" ht="13.9" thickTop="1" thickBot="1">
      <c r="B16" s="19"/>
      <c r="C16" s="19"/>
      <c r="D16" s="20"/>
      <c r="E16" s="21"/>
      <c r="F16" s="41"/>
      <c r="G16" s="22"/>
      <c r="H16" s="23">
        <f t="shared" si="3"/>
        <v>0</v>
      </c>
      <c r="I16" s="20"/>
      <c r="J16" s="31"/>
      <c r="K16" s="31"/>
      <c r="L16" s="31"/>
    </row>
    <row r="17" spans="1:12" ht="13.9" thickTop="1" thickBot="1">
      <c r="B17" s="19"/>
      <c r="C17" s="19"/>
      <c r="D17" s="20"/>
      <c r="E17" s="21"/>
      <c r="F17" s="41"/>
      <c r="G17" s="22"/>
      <c r="H17" s="23">
        <f t="shared" si="3"/>
        <v>0</v>
      </c>
      <c r="I17" s="20"/>
      <c r="J17" s="31"/>
      <c r="K17" s="31"/>
      <c r="L17" s="31"/>
    </row>
    <row r="18" spans="1:12" ht="13.9" thickTop="1" thickBot="1">
      <c r="B18" s="19"/>
      <c r="C18" s="19"/>
      <c r="D18" s="20"/>
      <c r="E18" s="21"/>
      <c r="F18" s="41"/>
      <c r="G18" s="22"/>
      <c r="H18" s="23">
        <f t="shared" si="3"/>
        <v>0</v>
      </c>
      <c r="I18" s="20"/>
      <c r="J18" s="31"/>
      <c r="K18" s="31"/>
      <c r="L18" s="31"/>
    </row>
    <row r="19" spans="1:12" s="29" customFormat="1" ht="13.9" thickTop="1" thickBot="1">
      <c r="A19" s="11"/>
      <c r="B19" s="25"/>
      <c r="C19" s="25"/>
      <c r="D19" s="26"/>
      <c r="E19" s="27"/>
      <c r="F19" s="27"/>
      <c r="G19" s="25"/>
      <c r="H19" s="23"/>
      <c r="I19" s="28"/>
      <c r="J19" s="49"/>
      <c r="K19" s="49"/>
      <c r="L19" s="49"/>
    </row>
    <row r="20" spans="1:12" ht="13.9" thickTop="1" thickBot="1">
      <c r="B20" s="79" t="s">
        <v>39</v>
      </c>
      <c r="C20" s="79"/>
      <c r="D20" s="79"/>
      <c r="E20" s="79"/>
      <c r="F20" s="79"/>
      <c r="G20" s="79"/>
      <c r="H20" s="30">
        <f>SUM(H13:H19)</f>
        <v>230</v>
      </c>
      <c r="J20" s="31"/>
      <c r="K20" s="50">
        <f>SUM(K$13:K19)</f>
        <v>230</v>
      </c>
      <c r="L20" s="50">
        <f>SUM(L$13:L19)</f>
        <v>0</v>
      </c>
    </row>
    <row r="21" spans="1:12" ht="13.5" thickTop="1"/>
    <row r="22" spans="1:12">
      <c r="G22" s="11" t="s">
        <v>40</v>
      </c>
      <c r="H22" s="24">
        <f>H20*3.6725</f>
        <v>844.67499999999995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93BF1E77-F272-4E67-90D3-FA33DEF6988A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114FF-8F5D-45F4-B031-195D3238B18A}">
  <sheetPr codeName="Sheet129">
    <tabColor rgb="FF92D050"/>
  </sheetPr>
  <dimension ref="A5:L22"/>
  <sheetViews>
    <sheetView zoomScaleNormal="100" workbookViewId="0">
      <selection activeCell="H8" sqref="H8"/>
    </sheetView>
  </sheetViews>
  <sheetFormatPr defaultColWidth="9.125" defaultRowHeight="13.15"/>
  <cols>
    <col min="1" max="1" width="9.125" style="11"/>
    <col min="2" max="2" width="5.875" style="11" bestFit="1" customWidth="1"/>
    <col min="3" max="3" width="13.6875" style="11" bestFit="1" customWidth="1"/>
    <col min="4" max="4" width="24.625" style="11" bestFit="1" customWidth="1"/>
    <col min="5" max="5" width="8.375" style="11" bestFit="1" customWidth="1"/>
    <col min="6" max="6" width="7.875" style="11" bestFit="1" customWidth="1"/>
    <col min="7" max="7" width="5.125" style="11" bestFit="1" customWidth="1"/>
    <col min="8" max="8" width="17.375" style="11" bestFit="1" customWidth="1"/>
    <col min="9" max="9" width="25.6875" style="11" bestFit="1" customWidth="1"/>
    <col min="10" max="10" width="9.6875" style="11" bestFit="1" customWidth="1"/>
    <col min="11" max="11" width="10.875" style="11" bestFit="1" customWidth="1"/>
    <col min="12" max="12" width="12.125" style="11" bestFit="1" customWidth="1"/>
    <col min="13" max="13" width="10.125" style="11" bestFit="1" customWidth="1"/>
    <col min="14" max="15" width="10.6875" style="11" customWidth="1"/>
    <col min="16" max="17" width="80.6875" style="11" customWidth="1"/>
    <col min="18" max="18" width="110.6875" style="11" customWidth="1"/>
    <col min="19" max="16384" width="9.125" style="11"/>
  </cols>
  <sheetData>
    <row r="5" spans="2:12" ht="13.5" thickBot="1"/>
    <row r="6" spans="2:12" ht="13.9" thickTop="1" thickBot="1">
      <c r="B6" s="11" t="s">
        <v>23</v>
      </c>
      <c r="H6" s="12" t="s">
        <v>24</v>
      </c>
      <c r="I6" s="13">
        <f ca="1">TODAY()</f>
        <v>45944</v>
      </c>
    </row>
    <row r="7" spans="2:12" ht="13.9" thickTop="1" thickBot="1">
      <c r="B7" s="77" t="s">
        <v>25</v>
      </c>
      <c r="C7" s="77"/>
      <c r="D7" s="77"/>
      <c r="H7" s="12" t="s">
        <v>26</v>
      </c>
      <c r="I7" s="14" t="s">
        <v>27</v>
      </c>
    </row>
    <row r="8" spans="2:12" ht="13.9" thickTop="1" thickBot="1">
      <c r="B8" s="78" t="s">
        <v>28</v>
      </c>
      <c r="C8" s="78"/>
      <c r="D8" s="78"/>
      <c r="H8" s="12" t="s">
        <v>29</v>
      </c>
      <c r="I8" s="15" t="s">
        <v>191</v>
      </c>
    </row>
    <row r="9" spans="2:12" ht="13.9" thickTop="1" thickBot="1">
      <c r="B9" s="78" t="s">
        <v>30</v>
      </c>
      <c r="C9" s="78"/>
      <c r="D9" s="78"/>
      <c r="H9" s="12" t="s">
        <v>31</v>
      </c>
      <c r="I9" s="16" t="s">
        <v>190</v>
      </c>
    </row>
    <row r="10" spans="2:12" ht="13.9" thickTop="1" thickBot="1">
      <c r="H10" s="12" t="s">
        <v>32</v>
      </c>
      <c r="I10" s="16" t="s">
        <v>192</v>
      </c>
    </row>
    <row r="11" spans="2:12" ht="13.9" thickTop="1" thickBot="1"/>
    <row r="12" spans="2:12" ht="13.9" thickTop="1" thickBot="1">
      <c r="B12" s="17" t="s">
        <v>1</v>
      </c>
      <c r="C12" s="17" t="s">
        <v>33</v>
      </c>
      <c r="D12" s="18" t="s">
        <v>34</v>
      </c>
      <c r="E12" s="18" t="s">
        <v>35</v>
      </c>
      <c r="F12" s="43" t="s">
        <v>243</v>
      </c>
      <c r="G12" s="18" t="s">
        <v>36</v>
      </c>
      <c r="H12" s="18" t="s">
        <v>37</v>
      </c>
      <c r="I12" s="18" t="s">
        <v>38</v>
      </c>
      <c r="J12" s="47" t="s">
        <v>264</v>
      </c>
      <c r="K12" s="47" t="s">
        <v>265</v>
      </c>
      <c r="L12" s="47" t="s">
        <v>266</v>
      </c>
    </row>
    <row r="13" spans="2:12" ht="13.9" thickTop="1" thickBot="1">
      <c r="B13" s="19">
        <v>1</v>
      </c>
      <c r="C13" s="19" t="s">
        <v>0</v>
      </c>
      <c r="D13" s="20" t="s">
        <v>48</v>
      </c>
      <c r="E13" s="21">
        <v>80</v>
      </c>
      <c r="F13" s="44"/>
      <c r="G13" s="22">
        <v>1</v>
      </c>
      <c r="H13" s="23">
        <f>E13*G13</f>
        <v>80</v>
      </c>
      <c r="I13" s="20" t="s">
        <v>51</v>
      </c>
      <c r="J13" s="31">
        <f t="shared" ref="J13:J14" si="0">ROUND($E13,2)</f>
        <v>80</v>
      </c>
      <c r="K13" s="31">
        <f t="shared" ref="K13:K14" si="1">J13*$G13</f>
        <v>80</v>
      </c>
      <c r="L13" s="31">
        <f t="shared" ref="L13:L14" si="2">K13-$H13</f>
        <v>0</v>
      </c>
    </row>
    <row r="14" spans="2:12" ht="13.9" thickTop="1" thickBot="1">
      <c r="B14" s="19">
        <v>2</v>
      </c>
      <c r="C14" s="19" t="s">
        <v>0</v>
      </c>
      <c r="D14" s="20" t="s">
        <v>49</v>
      </c>
      <c r="E14" s="21">
        <v>150</v>
      </c>
      <c r="F14" s="44"/>
      <c r="G14" s="22">
        <v>1</v>
      </c>
      <c r="H14" s="23">
        <f>E14*G14</f>
        <v>150</v>
      </c>
      <c r="I14" s="20" t="s">
        <v>51</v>
      </c>
      <c r="J14" s="31">
        <f t="shared" si="0"/>
        <v>150</v>
      </c>
      <c r="K14" s="31">
        <f t="shared" si="1"/>
        <v>150</v>
      </c>
      <c r="L14" s="31">
        <f t="shared" si="2"/>
        <v>0</v>
      </c>
    </row>
    <row r="15" spans="2:12" ht="13.9" thickTop="1" thickBot="1">
      <c r="B15" s="19"/>
      <c r="C15" s="19"/>
      <c r="D15" s="20"/>
      <c r="E15" s="21"/>
      <c r="F15" s="41"/>
      <c r="G15" s="22"/>
      <c r="H15" s="23">
        <f t="shared" ref="H15:H18" si="3">E15*G15</f>
        <v>0</v>
      </c>
      <c r="I15" s="20"/>
      <c r="J15" s="31"/>
      <c r="K15" s="31"/>
      <c r="L15" s="31"/>
    </row>
    <row r="16" spans="2:12" ht="13.9" thickTop="1" thickBot="1">
      <c r="B16" s="19"/>
      <c r="C16" s="19"/>
      <c r="D16" s="20"/>
      <c r="E16" s="21"/>
      <c r="F16" s="41"/>
      <c r="G16" s="22"/>
      <c r="H16" s="23">
        <f t="shared" si="3"/>
        <v>0</v>
      </c>
      <c r="I16" s="20"/>
      <c r="J16" s="31"/>
      <c r="K16" s="31"/>
      <c r="L16" s="31"/>
    </row>
    <row r="17" spans="1:12" ht="13.9" thickTop="1" thickBot="1">
      <c r="B17" s="19"/>
      <c r="C17" s="19"/>
      <c r="D17" s="20"/>
      <c r="E17" s="21"/>
      <c r="F17" s="41"/>
      <c r="G17" s="22"/>
      <c r="H17" s="23">
        <f t="shared" si="3"/>
        <v>0</v>
      </c>
      <c r="I17" s="20"/>
      <c r="J17" s="31"/>
      <c r="K17" s="31"/>
      <c r="L17" s="31"/>
    </row>
    <row r="18" spans="1:12" ht="13.9" thickTop="1" thickBot="1">
      <c r="B18" s="19"/>
      <c r="C18" s="19"/>
      <c r="D18" s="20"/>
      <c r="E18" s="21"/>
      <c r="F18" s="41"/>
      <c r="G18" s="22"/>
      <c r="H18" s="23">
        <f t="shared" si="3"/>
        <v>0</v>
      </c>
      <c r="I18" s="20"/>
      <c r="J18" s="31"/>
      <c r="K18" s="31"/>
      <c r="L18" s="31"/>
    </row>
    <row r="19" spans="1:12" s="29" customFormat="1" ht="13.9" thickTop="1" thickBot="1">
      <c r="A19" s="11"/>
      <c r="B19" s="25"/>
      <c r="C19" s="25"/>
      <c r="D19" s="26"/>
      <c r="E19" s="27"/>
      <c r="F19" s="27"/>
      <c r="G19" s="25"/>
      <c r="H19" s="23"/>
      <c r="I19" s="28"/>
      <c r="J19" s="49"/>
      <c r="K19" s="49"/>
      <c r="L19" s="49"/>
    </row>
    <row r="20" spans="1:12" ht="13.9" thickTop="1" thickBot="1">
      <c r="B20" s="79" t="s">
        <v>39</v>
      </c>
      <c r="C20" s="79"/>
      <c r="D20" s="79"/>
      <c r="E20" s="79"/>
      <c r="F20" s="79"/>
      <c r="G20" s="79"/>
      <c r="H20" s="30">
        <f>SUM(H13:H19)</f>
        <v>230</v>
      </c>
      <c r="J20" s="31"/>
      <c r="K20" s="50">
        <f>SUM(K$13:K19)</f>
        <v>230</v>
      </c>
      <c r="L20" s="50">
        <f>SUM(L$13:L19)</f>
        <v>0</v>
      </c>
    </row>
    <row r="21" spans="1:12" ht="13.5" thickTop="1"/>
    <row r="22" spans="1:12">
      <c r="G22" s="11" t="s">
        <v>40</v>
      </c>
      <c r="H22" s="24">
        <f>H20*3.6725</f>
        <v>844.67499999999995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428C9842-0646-4D6A-9C2F-AA5BE0E2355F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358F-21F7-49B3-BD9D-824522AFB3B0}">
  <sheetPr codeName="Sheet130">
    <tabColor rgb="FF92D050"/>
  </sheetPr>
  <dimension ref="A5:L22"/>
  <sheetViews>
    <sheetView zoomScale="70" zoomScaleNormal="70" workbookViewId="0"/>
  </sheetViews>
  <sheetFormatPr defaultColWidth="9.125" defaultRowHeight="13.15"/>
  <cols>
    <col min="1" max="1" width="9.125" style="11"/>
    <col min="2" max="2" width="6.375" style="11" bestFit="1" customWidth="1"/>
    <col min="3" max="3" width="13.6875" style="11" bestFit="1" customWidth="1"/>
    <col min="4" max="4" width="26.375" style="11" bestFit="1" customWidth="1"/>
    <col min="5" max="5" width="9.125" style="11" bestFit="1" customWidth="1"/>
    <col min="6" max="6" width="8.125" style="11" bestFit="1" customWidth="1"/>
    <col min="7" max="7" width="5.375" style="11" bestFit="1" customWidth="1"/>
    <col min="8" max="8" width="18.125" style="11" bestFit="1" customWidth="1"/>
    <col min="9" max="9" width="28.6875" style="11" bestFit="1" customWidth="1"/>
    <col min="10" max="10" width="9.6875" style="11" bestFit="1" customWidth="1"/>
    <col min="11" max="11" width="11" style="11" bestFit="1" customWidth="1"/>
    <col min="12" max="12" width="12.125" style="11" bestFit="1" customWidth="1"/>
    <col min="13" max="13" width="10.125" style="11" bestFit="1" customWidth="1"/>
    <col min="14" max="15" width="10.6875" style="11" customWidth="1"/>
    <col min="16" max="17" width="80.6875" style="11" customWidth="1"/>
    <col min="18" max="18" width="110.6875" style="11" customWidth="1"/>
    <col min="19" max="16384" width="9.125" style="11"/>
  </cols>
  <sheetData>
    <row r="5" spans="2:12" ht="13.5" thickBot="1"/>
    <row r="6" spans="2:12" ht="13.9" thickTop="1" thickBot="1">
      <c r="B6" s="11" t="s">
        <v>23</v>
      </c>
      <c r="H6" s="12" t="s">
        <v>24</v>
      </c>
      <c r="I6" s="13">
        <f ca="1">TODAY()</f>
        <v>45944</v>
      </c>
    </row>
    <row r="7" spans="2:12" ht="13.9" thickTop="1" thickBot="1">
      <c r="B7" s="77" t="s">
        <v>25</v>
      </c>
      <c r="C7" s="77"/>
      <c r="D7" s="77"/>
      <c r="H7" s="12" t="s">
        <v>26</v>
      </c>
      <c r="I7" s="14" t="s">
        <v>27</v>
      </c>
    </row>
    <row r="8" spans="2:12" ht="13.9" thickTop="1" thickBot="1">
      <c r="B8" s="78" t="s">
        <v>28</v>
      </c>
      <c r="C8" s="78"/>
      <c r="D8" s="78"/>
      <c r="H8" s="12" t="s">
        <v>29</v>
      </c>
      <c r="I8" s="15" t="s">
        <v>195</v>
      </c>
    </row>
    <row r="9" spans="2:12" ht="13.9" thickTop="1" thickBot="1">
      <c r="B9" s="78" t="s">
        <v>30</v>
      </c>
      <c r="C9" s="78"/>
      <c r="D9" s="78"/>
      <c r="H9" s="12" t="s">
        <v>31</v>
      </c>
      <c r="I9" s="16" t="s">
        <v>194</v>
      </c>
    </row>
    <row r="10" spans="2:12" ht="13.9" thickTop="1" thickBot="1">
      <c r="H10" s="12" t="s">
        <v>32</v>
      </c>
      <c r="I10" s="16" t="s">
        <v>196</v>
      </c>
    </row>
    <row r="11" spans="2:12" ht="13.9" thickTop="1" thickBot="1"/>
    <row r="12" spans="2:12" ht="13.9" thickTop="1" thickBot="1">
      <c r="B12" s="17" t="s">
        <v>1</v>
      </c>
      <c r="C12" s="17" t="s">
        <v>33</v>
      </c>
      <c r="D12" s="18" t="s">
        <v>34</v>
      </c>
      <c r="E12" s="18" t="s">
        <v>35</v>
      </c>
      <c r="F12" s="43" t="s">
        <v>243</v>
      </c>
      <c r="G12" s="18" t="s">
        <v>36</v>
      </c>
      <c r="H12" s="18" t="s">
        <v>37</v>
      </c>
      <c r="I12" s="18" t="s">
        <v>38</v>
      </c>
      <c r="J12" s="47" t="s">
        <v>264</v>
      </c>
      <c r="K12" s="47" t="s">
        <v>265</v>
      </c>
      <c r="L12" s="47" t="s">
        <v>266</v>
      </c>
    </row>
    <row r="13" spans="2:12" ht="13.9" thickTop="1" thickBot="1">
      <c r="B13" s="19">
        <v>1</v>
      </c>
      <c r="C13" s="19" t="s">
        <v>0</v>
      </c>
      <c r="D13" s="20" t="s">
        <v>48</v>
      </c>
      <c r="E13" s="21">
        <v>80</v>
      </c>
      <c r="F13" s="44"/>
      <c r="G13" s="22">
        <v>1</v>
      </c>
      <c r="H13" s="23">
        <f>E13*G13</f>
        <v>80</v>
      </c>
      <c r="I13" s="20" t="s">
        <v>51</v>
      </c>
      <c r="J13" s="31">
        <f t="shared" ref="J13:J14" si="0">ROUND($E13,2)</f>
        <v>80</v>
      </c>
      <c r="K13" s="31">
        <f t="shared" ref="K13:K14" si="1">J13*$G13</f>
        <v>80</v>
      </c>
      <c r="L13" s="31">
        <f t="shared" ref="L13:L14" si="2">K13-$H13</f>
        <v>0</v>
      </c>
    </row>
    <row r="14" spans="2:12" ht="13.9" thickTop="1" thickBot="1">
      <c r="B14" s="19">
        <v>2</v>
      </c>
      <c r="C14" s="19" t="s">
        <v>0</v>
      </c>
      <c r="D14" s="20" t="s">
        <v>49</v>
      </c>
      <c r="E14" s="21">
        <v>150</v>
      </c>
      <c r="F14" s="44"/>
      <c r="G14" s="22">
        <v>1</v>
      </c>
      <c r="H14" s="23">
        <f>E14*G14</f>
        <v>150</v>
      </c>
      <c r="I14" s="20" t="s">
        <v>51</v>
      </c>
      <c r="J14" s="31">
        <f t="shared" si="0"/>
        <v>150</v>
      </c>
      <c r="K14" s="31">
        <f t="shared" si="1"/>
        <v>150</v>
      </c>
      <c r="L14" s="31">
        <f t="shared" si="2"/>
        <v>0</v>
      </c>
    </row>
    <row r="15" spans="2:12" ht="13.9" thickTop="1" thickBot="1">
      <c r="B15" s="19"/>
      <c r="C15" s="19"/>
      <c r="D15" s="20"/>
      <c r="E15" s="21"/>
      <c r="F15" s="41"/>
      <c r="G15" s="22"/>
      <c r="H15" s="23">
        <f t="shared" ref="H15:H18" si="3">E15*G15</f>
        <v>0</v>
      </c>
      <c r="I15" s="20"/>
      <c r="J15" s="31"/>
      <c r="K15" s="31"/>
      <c r="L15" s="31"/>
    </row>
    <row r="16" spans="2:12" ht="13.9" thickTop="1" thickBot="1">
      <c r="B16" s="19"/>
      <c r="C16" s="19"/>
      <c r="D16" s="20"/>
      <c r="E16" s="21"/>
      <c r="F16" s="41"/>
      <c r="G16" s="22"/>
      <c r="H16" s="23">
        <f t="shared" si="3"/>
        <v>0</v>
      </c>
      <c r="I16" s="20"/>
      <c r="J16" s="31"/>
      <c r="K16" s="31"/>
      <c r="L16" s="31"/>
    </row>
    <row r="17" spans="1:12" ht="13.9" thickTop="1" thickBot="1">
      <c r="B17" s="19"/>
      <c r="C17" s="19"/>
      <c r="D17" s="20"/>
      <c r="E17" s="21"/>
      <c r="F17" s="41"/>
      <c r="G17" s="22"/>
      <c r="H17" s="23">
        <f t="shared" si="3"/>
        <v>0</v>
      </c>
      <c r="I17" s="20"/>
      <c r="J17" s="31"/>
      <c r="K17" s="31"/>
      <c r="L17" s="31"/>
    </row>
    <row r="18" spans="1:12" ht="13.9" thickTop="1" thickBot="1">
      <c r="B18" s="19"/>
      <c r="C18" s="19"/>
      <c r="D18" s="20"/>
      <c r="E18" s="21"/>
      <c r="F18" s="41"/>
      <c r="G18" s="22"/>
      <c r="H18" s="23">
        <f t="shared" si="3"/>
        <v>0</v>
      </c>
      <c r="I18" s="20"/>
      <c r="J18" s="31"/>
      <c r="K18" s="31"/>
      <c r="L18" s="31"/>
    </row>
    <row r="19" spans="1:12" s="29" customFormat="1" ht="13.9" thickTop="1" thickBot="1">
      <c r="A19" s="11"/>
      <c r="B19" s="25"/>
      <c r="C19" s="25"/>
      <c r="D19" s="26"/>
      <c r="E19" s="27"/>
      <c r="F19" s="27"/>
      <c r="G19" s="25"/>
      <c r="H19" s="23"/>
      <c r="I19" s="28"/>
      <c r="J19" s="49"/>
      <c r="K19" s="49"/>
      <c r="L19" s="49"/>
    </row>
    <row r="20" spans="1:12" ht="13.9" thickTop="1" thickBot="1">
      <c r="B20" s="79" t="s">
        <v>39</v>
      </c>
      <c r="C20" s="79"/>
      <c r="D20" s="79"/>
      <c r="E20" s="79"/>
      <c r="F20" s="79"/>
      <c r="G20" s="79"/>
      <c r="H20" s="30">
        <f>SUM(H13:H19)</f>
        <v>230</v>
      </c>
      <c r="J20" s="31"/>
      <c r="K20" s="50">
        <f>SUM(K$13:K19)</f>
        <v>230</v>
      </c>
      <c r="L20" s="50">
        <f>SUM(L$13:L19)</f>
        <v>0</v>
      </c>
    </row>
    <row r="21" spans="1:12" ht="13.5" thickTop="1"/>
    <row r="22" spans="1:12">
      <c r="G22" s="11" t="s">
        <v>40</v>
      </c>
      <c r="H22" s="24">
        <f>H20*3.6725</f>
        <v>844.67499999999995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2204921A-62DE-4AA5-9853-36AE47B99DCC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EE189-DC57-4077-BD3F-923FC4936CED}">
  <sheetPr codeName="Sheet131">
    <tabColor rgb="FF92D050"/>
  </sheetPr>
  <dimension ref="A5:Q32"/>
  <sheetViews>
    <sheetView topLeftCell="A4" zoomScaleNormal="100" workbookViewId="0">
      <selection activeCell="I8" sqref="I8"/>
    </sheetView>
  </sheetViews>
  <sheetFormatPr defaultColWidth="9.125" defaultRowHeight="13.15"/>
  <cols>
    <col min="1" max="1" width="9.125" style="11"/>
    <col min="2" max="2" width="5.875" style="11" bestFit="1" customWidth="1"/>
    <col min="3" max="3" width="13.6875" style="11" bestFit="1" customWidth="1"/>
    <col min="4" max="4" width="39.875" style="11" bestFit="1" customWidth="1"/>
    <col min="5" max="5" width="9.875" style="11" bestFit="1" customWidth="1"/>
    <col min="6" max="6" width="7.875" style="11" bestFit="1" customWidth="1"/>
    <col min="7" max="7" width="5.125" style="11" bestFit="1" customWidth="1"/>
    <col min="8" max="8" width="17.375" style="11" bestFit="1" customWidth="1"/>
    <col min="9" max="9" width="27.375" style="11" bestFit="1" customWidth="1"/>
    <col min="10" max="10" width="9.6875" style="11" bestFit="1" customWidth="1"/>
    <col min="11" max="11" width="10.875" style="11" bestFit="1" customWidth="1"/>
    <col min="12" max="12" width="12.125" style="11" bestFit="1" customWidth="1"/>
    <col min="13" max="13" width="10.125" style="11" bestFit="1" customWidth="1"/>
    <col min="14" max="15" width="10.6875" style="11" customWidth="1"/>
    <col min="16" max="17" width="80.6875" style="11" customWidth="1"/>
    <col min="18" max="18" width="110.6875" style="11" customWidth="1"/>
    <col min="19" max="16384" width="9.125" style="11"/>
  </cols>
  <sheetData>
    <row r="5" spans="2:17" ht="13.5" thickBot="1"/>
    <row r="6" spans="2:17" ht="13.9" thickTop="1" thickBot="1">
      <c r="B6" s="11" t="s">
        <v>23</v>
      </c>
      <c r="H6" s="12" t="s">
        <v>24</v>
      </c>
      <c r="I6" s="13">
        <f ca="1">TODAY()</f>
        <v>45944</v>
      </c>
    </row>
    <row r="7" spans="2:17" ht="13.9" thickTop="1" thickBot="1">
      <c r="B7" s="77" t="s">
        <v>25</v>
      </c>
      <c r="C7" s="77"/>
      <c r="D7" s="77"/>
      <c r="H7" s="12" t="s">
        <v>26</v>
      </c>
      <c r="I7" s="14" t="s">
        <v>27</v>
      </c>
    </row>
    <row r="8" spans="2:17" ht="13.9" thickTop="1" thickBot="1">
      <c r="B8" s="78" t="s">
        <v>28</v>
      </c>
      <c r="C8" s="78"/>
      <c r="D8" s="78"/>
      <c r="H8" s="12" t="s">
        <v>29</v>
      </c>
      <c r="I8" s="15" t="s">
        <v>200</v>
      </c>
    </row>
    <row r="9" spans="2:17" ht="13.9" thickTop="1" thickBot="1">
      <c r="B9" s="78" t="s">
        <v>30</v>
      </c>
      <c r="C9" s="78"/>
      <c r="D9" s="78"/>
      <c r="H9" s="12" t="s">
        <v>31</v>
      </c>
      <c r="I9" s="16" t="s">
        <v>203</v>
      </c>
    </row>
    <row r="10" spans="2:17" ht="13.9" thickTop="1" thickBot="1"/>
    <row r="11" spans="2:17" ht="17.649999999999999" thickTop="1" thickBot="1">
      <c r="B11" s="17" t="s">
        <v>1</v>
      </c>
      <c r="C11" s="17" t="s">
        <v>33</v>
      </c>
      <c r="D11" s="18" t="s">
        <v>34</v>
      </c>
      <c r="E11" s="18" t="s">
        <v>35</v>
      </c>
      <c r="F11" s="43" t="s">
        <v>243</v>
      </c>
      <c r="G11" s="18" t="s">
        <v>36</v>
      </c>
      <c r="H11" s="18" t="s">
        <v>37</v>
      </c>
      <c r="I11" s="18" t="s">
        <v>38</v>
      </c>
      <c r="J11" s="47" t="s">
        <v>264</v>
      </c>
      <c r="K11" s="47" t="s">
        <v>265</v>
      </c>
      <c r="L11" s="47" t="s">
        <v>266</v>
      </c>
      <c r="N11" s="52" t="s">
        <v>1</v>
      </c>
      <c r="O11" s="53" t="s">
        <v>273</v>
      </c>
      <c r="P11" s="53" t="s">
        <v>274</v>
      </c>
      <c r="Q11" s="53" t="s">
        <v>275</v>
      </c>
    </row>
    <row r="12" spans="2:17" ht="17.649999999999999" thickTop="1" thickBot="1">
      <c r="B12" s="19">
        <v>1</v>
      </c>
      <c r="C12" s="19" t="s">
        <v>201</v>
      </c>
      <c r="D12" s="20" t="s">
        <v>204</v>
      </c>
      <c r="E12" s="21">
        <v>150</v>
      </c>
      <c r="F12" s="44"/>
      <c r="G12" s="22">
        <v>1</v>
      </c>
      <c r="H12" s="23">
        <f>E12*G12</f>
        <v>150</v>
      </c>
      <c r="I12" s="20" t="s">
        <v>51</v>
      </c>
      <c r="J12" s="31">
        <f t="shared" ref="J12:J21" si="0">ROUND($E12,2)</f>
        <v>150</v>
      </c>
      <c r="K12" s="31">
        <f t="shared" ref="K12:K21" si="1">J12*$G12</f>
        <v>150</v>
      </c>
      <c r="L12" s="31">
        <f t="shared" ref="L12:L21" si="2">K12-$H12</f>
        <v>0</v>
      </c>
      <c r="N12" s="51">
        <v>1</v>
      </c>
      <c r="O12" s="54" t="s">
        <v>276</v>
      </c>
      <c r="P12" s="55" t="s">
        <v>277</v>
      </c>
      <c r="Q12" s="54" t="s">
        <v>278</v>
      </c>
    </row>
    <row r="13" spans="2:17" ht="17.649999999999999" thickTop="1" thickBot="1">
      <c r="B13" s="19">
        <v>2</v>
      </c>
      <c r="C13" s="19" t="s">
        <v>201</v>
      </c>
      <c r="D13" s="20" t="s">
        <v>205</v>
      </c>
      <c r="E13" s="21">
        <v>24.51</v>
      </c>
      <c r="F13" s="44"/>
      <c r="G13" s="22">
        <v>1</v>
      </c>
      <c r="H13" s="23">
        <f t="shared" ref="H13:H21" si="3">E13*G13</f>
        <v>24.51</v>
      </c>
      <c r="I13" s="20" t="s">
        <v>51</v>
      </c>
      <c r="J13" s="31">
        <f t="shared" si="0"/>
        <v>24.51</v>
      </c>
      <c r="K13" s="31">
        <f t="shared" si="1"/>
        <v>24.51</v>
      </c>
      <c r="L13" s="31">
        <f t="shared" si="2"/>
        <v>0</v>
      </c>
      <c r="N13" s="51">
        <v>2</v>
      </c>
      <c r="O13" s="54" t="s">
        <v>276</v>
      </c>
      <c r="P13" s="55" t="s">
        <v>279</v>
      </c>
      <c r="Q13" s="55" t="s">
        <v>280</v>
      </c>
    </row>
    <row r="14" spans="2:17" ht="17.649999999999999" thickTop="1" thickBot="1">
      <c r="B14" s="19">
        <v>3</v>
      </c>
      <c r="C14" s="19" t="s">
        <v>201</v>
      </c>
      <c r="D14" s="20" t="s">
        <v>206</v>
      </c>
      <c r="E14" s="21">
        <v>15.72</v>
      </c>
      <c r="F14" s="44"/>
      <c r="G14" s="22">
        <v>1</v>
      </c>
      <c r="H14" s="23">
        <f t="shared" si="3"/>
        <v>15.72</v>
      </c>
      <c r="I14" s="20" t="s">
        <v>51</v>
      </c>
      <c r="J14" s="31">
        <f t="shared" si="0"/>
        <v>15.72</v>
      </c>
      <c r="K14" s="31">
        <f t="shared" si="1"/>
        <v>15.72</v>
      </c>
      <c r="L14" s="31">
        <f t="shared" si="2"/>
        <v>0</v>
      </c>
      <c r="N14" s="51">
        <v>3</v>
      </c>
      <c r="O14" s="54" t="s">
        <v>281</v>
      </c>
      <c r="P14" s="54" t="s">
        <v>282</v>
      </c>
      <c r="Q14" s="54" t="s">
        <v>283</v>
      </c>
    </row>
    <row r="15" spans="2:17" ht="17.649999999999999" thickTop="1" thickBot="1">
      <c r="B15" s="19">
        <v>4</v>
      </c>
      <c r="C15" s="19" t="s">
        <v>201</v>
      </c>
      <c r="D15" s="20" t="s">
        <v>207</v>
      </c>
      <c r="E15" s="21">
        <v>8.58</v>
      </c>
      <c r="F15" s="44"/>
      <c r="G15" s="22">
        <v>1</v>
      </c>
      <c r="H15" s="23">
        <f t="shared" si="3"/>
        <v>8.58</v>
      </c>
      <c r="I15" s="20" t="s">
        <v>51</v>
      </c>
      <c r="J15" s="31">
        <f t="shared" si="0"/>
        <v>8.58</v>
      </c>
      <c r="K15" s="31">
        <f t="shared" si="1"/>
        <v>8.58</v>
      </c>
      <c r="L15" s="31">
        <f t="shared" si="2"/>
        <v>0</v>
      </c>
      <c r="N15" s="51">
        <v>4</v>
      </c>
      <c r="O15" s="54" t="s">
        <v>276</v>
      </c>
      <c r="P15" s="54" t="s">
        <v>284</v>
      </c>
      <c r="Q15" s="55" t="s">
        <v>285</v>
      </c>
    </row>
    <row r="16" spans="2:17" ht="17.649999999999999" thickTop="1" thickBot="1">
      <c r="B16" s="19">
        <v>5</v>
      </c>
      <c r="C16" s="19" t="s">
        <v>201</v>
      </c>
      <c r="D16" s="20" t="s">
        <v>208</v>
      </c>
      <c r="E16" s="21">
        <v>85.77</v>
      </c>
      <c r="F16" s="44"/>
      <c r="G16" s="22">
        <v>1</v>
      </c>
      <c r="H16" s="23">
        <f t="shared" si="3"/>
        <v>85.77</v>
      </c>
      <c r="I16" s="20" t="s">
        <v>51</v>
      </c>
      <c r="J16" s="31">
        <f t="shared" si="0"/>
        <v>85.77</v>
      </c>
      <c r="K16" s="31">
        <f t="shared" si="1"/>
        <v>85.77</v>
      </c>
      <c r="L16" s="31">
        <f t="shared" si="2"/>
        <v>0</v>
      </c>
      <c r="N16" s="51">
        <v>5</v>
      </c>
      <c r="O16" s="54" t="s">
        <v>276</v>
      </c>
      <c r="P16" s="54" t="s">
        <v>286</v>
      </c>
      <c r="Q16" s="55" t="s">
        <v>287</v>
      </c>
    </row>
    <row r="17" spans="1:17" ht="17.649999999999999" thickTop="1" thickBot="1">
      <c r="B17" s="19">
        <v>6</v>
      </c>
      <c r="C17" s="19" t="s">
        <v>201</v>
      </c>
      <c r="D17" s="20" t="s">
        <v>209</v>
      </c>
      <c r="E17" s="21">
        <v>125</v>
      </c>
      <c r="F17" s="44"/>
      <c r="G17" s="22">
        <v>1</v>
      </c>
      <c r="H17" s="23">
        <f t="shared" si="3"/>
        <v>125</v>
      </c>
      <c r="I17" s="20" t="s">
        <v>51</v>
      </c>
      <c r="J17" s="31">
        <f t="shared" si="0"/>
        <v>125</v>
      </c>
      <c r="K17" s="31">
        <f t="shared" si="1"/>
        <v>125</v>
      </c>
      <c r="L17" s="31">
        <f t="shared" si="2"/>
        <v>0</v>
      </c>
      <c r="N17" s="51">
        <v>6</v>
      </c>
      <c r="O17" s="54" t="s">
        <v>276</v>
      </c>
      <c r="P17" s="54" t="s">
        <v>288</v>
      </c>
      <c r="Q17" s="54" t="s">
        <v>289</v>
      </c>
    </row>
    <row r="18" spans="1:17" ht="17.649999999999999" thickTop="1" thickBot="1">
      <c r="B18" s="19">
        <v>7</v>
      </c>
      <c r="C18" s="19" t="s">
        <v>201</v>
      </c>
      <c r="D18" s="20" t="s">
        <v>210</v>
      </c>
      <c r="E18" s="21">
        <v>150</v>
      </c>
      <c r="F18" s="44"/>
      <c r="G18" s="22">
        <v>1</v>
      </c>
      <c r="H18" s="23">
        <f t="shared" si="3"/>
        <v>150</v>
      </c>
      <c r="I18" s="20" t="s">
        <v>51</v>
      </c>
      <c r="J18" s="31">
        <f t="shared" si="0"/>
        <v>150</v>
      </c>
      <c r="K18" s="31">
        <f t="shared" si="1"/>
        <v>150</v>
      </c>
      <c r="L18" s="31">
        <f t="shared" si="2"/>
        <v>0</v>
      </c>
      <c r="N18" s="51">
        <v>7</v>
      </c>
      <c r="O18" s="54" t="s">
        <v>276</v>
      </c>
      <c r="P18" s="54" t="s">
        <v>290</v>
      </c>
      <c r="Q18" s="54" t="s">
        <v>291</v>
      </c>
    </row>
    <row r="19" spans="1:17" ht="17.649999999999999" thickTop="1" thickBot="1">
      <c r="B19" s="19">
        <v>8</v>
      </c>
      <c r="C19" s="19" t="s">
        <v>201</v>
      </c>
      <c r="D19" s="20" t="s">
        <v>211</v>
      </c>
      <c r="E19" s="21">
        <v>1978.35</v>
      </c>
      <c r="F19" s="44"/>
      <c r="G19" s="22">
        <v>1</v>
      </c>
      <c r="H19" s="23">
        <f t="shared" si="3"/>
        <v>1978.35</v>
      </c>
      <c r="I19" s="20" t="s">
        <v>51</v>
      </c>
      <c r="J19" s="31">
        <f t="shared" si="0"/>
        <v>1978.35</v>
      </c>
      <c r="K19" s="31">
        <f t="shared" si="1"/>
        <v>1978.35</v>
      </c>
      <c r="L19" s="31">
        <f t="shared" si="2"/>
        <v>0</v>
      </c>
      <c r="N19" s="51">
        <v>8</v>
      </c>
      <c r="O19" s="55" t="s">
        <v>276</v>
      </c>
      <c r="P19" s="55" t="s">
        <v>292</v>
      </c>
      <c r="Q19" s="55" t="s">
        <v>293</v>
      </c>
    </row>
    <row r="20" spans="1:17" ht="17.649999999999999" thickTop="1" thickBot="1">
      <c r="B20" s="19">
        <v>9</v>
      </c>
      <c r="C20" s="19" t="s">
        <v>201</v>
      </c>
      <c r="D20" s="20" t="s">
        <v>212</v>
      </c>
      <c r="E20" s="21">
        <v>85.77</v>
      </c>
      <c r="F20" s="44"/>
      <c r="G20" s="22">
        <v>1</v>
      </c>
      <c r="H20" s="23">
        <f t="shared" si="3"/>
        <v>85.77</v>
      </c>
      <c r="I20" s="20" t="s">
        <v>51</v>
      </c>
      <c r="J20" s="31">
        <f t="shared" si="0"/>
        <v>85.77</v>
      </c>
      <c r="K20" s="31">
        <f t="shared" si="1"/>
        <v>85.77</v>
      </c>
      <c r="L20" s="31">
        <f t="shared" si="2"/>
        <v>0</v>
      </c>
      <c r="N20" s="51">
        <v>9</v>
      </c>
      <c r="O20" s="54" t="s">
        <v>281</v>
      </c>
      <c r="P20" s="54" t="s">
        <v>294</v>
      </c>
      <c r="Q20" s="54" t="s">
        <v>295</v>
      </c>
    </row>
    <row r="21" spans="1:17" ht="17.649999999999999" thickTop="1" thickBot="1">
      <c r="B21" s="19">
        <v>10</v>
      </c>
      <c r="C21" s="19" t="s">
        <v>201</v>
      </c>
      <c r="D21" s="20" t="s">
        <v>213</v>
      </c>
      <c r="E21" s="21">
        <v>68.069999999999993</v>
      </c>
      <c r="F21" s="44"/>
      <c r="G21" s="22">
        <v>1</v>
      </c>
      <c r="H21" s="23">
        <f t="shared" si="3"/>
        <v>68.069999999999993</v>
      </c>
      <c r="I21" s="20" t="s">
        <v>51</v>
      </c>
      <c r="J21" s="31">
        <f t="shared" si="0"/>
        <v>68.069999999999993</v>
      </c>
      <c r="K21" s="31">
        <f t="shared" si="1"/>
        <v>68.069999999999993</v>
      </c>
      <c r="L21" s="31">
        <f t="shared" si="2"/>
        <v>0</v>
      </c>
      <c r="N21" s="51">
        <v>10</v>
      </c>
      <c r="O21" s="54" t="s">
        <v>281</v>
      </c>
      <c r="P21" s="54" t="s">
        <v>296</v>
      </c>
      <c r="Q21" s="54" t="s">
        <v>297</v>
      </c>
    </row>
    <row r="22" spans="1:17" ht="13.9" thickTop="1" thickBot="1">
      <c r="B22" s="19"/>
      <c r="C22" s="19"/>
      <c r="D22" s="20"/>
      <c r="E22" s="21"/>
      <c r="F22" s="41"/>
      <c r="G22" s="22"/>
      <c r="H22" s="23">
        <f t="shared" ref="H22:H25" si="4">E22*G22</f>
        <v>0</v>
      </c>
      <c r="I22" s="20"/>
      <c r="J22" s="31"/>
      <c r="K22" s="31"/>
      <c r="L22" s="31"/>
    </row>
    <row r="23" spans="1:17" ht="13.9" thickTop="1" thickBot="1">
      <c r="B23" s="19"/>
      <c r="C23" s="19"/>
      <c r="D23" s="20"/>
      <c r="E23" s="21"/>
      <c r="F23" s="41"/>
      <c r="G23" s="22"/>
      <c r="H23" s="23">
        <f t="shared" si="4"/>
        <v>0</v>
      </c>
      <c r="I23" s="20"/>
      <c r="J23" s="31"/>
      <c r="K23" s="31"/>
      <c r="L23" s="31"/>
    </row>
    <row r="24" spans="1:17" ht="13.9" thickTop="1" thickBot="1">
      <c r="B24" s="19"/>
      <c r="C24" s="19"/>
      <c r="D24" s="20"/>
      <c r="E24" s="21"/>
      <c r="F24" s="41"/>
      <c r="G24" s="22"/>
      <c r="H24" s="23">
        <f t="shared" si="4"/>
        <v>0</v>
      </c>
      <c r="I24" s="20"/>
      <c r="J24" s="31"/>
      <c r="K24" s="31"/>
      <c r="L24" s="31"/>
    </row>
    <row r="25" spans="1:17" ht="13.9" thickTop="1" thickBot="1">
      <c r="B25" s="19"/>
      <c r="C25" s="19"/>
      <c r="D25" s="20"/>
      <c r="E25" s="21"/>
      <c r="F25" s="41"/>
      <c r="G25" s="22"/>
      <c r="H25" s="23">
        <f t="shared" si="4"/>
        <v>0</v>
      </c>
      <c r="I25" s="20"/>
      <c r="J25" s="31"/>
      <c r="K25" s="31"/>
      <c r="L25" s="31"/>
    </row>
    <row r="26" spans="1:17" s="29" customFormat="1" ht="13.9" thickTop="1" thickBot="1">
      <c r="A26" s="11"/>
      <c r="B26" s="25"/>
      <c r="C26" s="25"/>
      <c r="D26" s="26"/>
      <c r="E26" s="27"/>
      <c r="F26" s="27"/>
      <c r="G26" s="25"/>
      <c r="H26" s="23"/>
      <c r="I26" s="28"/>
      <c r="J26" s="49"/>
      <c r="K26" s="49"/>
      <c r="L26" s="49"/>
    </row>
    <row r="27" spans="1:17" ht="13.9" thickTop="1" thickBot="1">
      <c r="B27" s="79" t="s">
        <v>39</v>
      </c>
      <c r="C27" s="79"/>
      <c r="D27" s="79"/>
      <c r="E27" s="79"/>
      <c r="F27" s="79"/>
      <c r="G27" s="79"/>
      <c r="H27" s="30">
        <f>SUM(H12:H26)</f>
        <v>2691.77</v>
      </c>
      <c r="J27" s="31"/>
      <c r="K27" s="50">
        <f>SUM(K$12:K26)</f>
        <v>2691.77</v>
      </c>
      <c r="L27" s="50">
        <f>SUM(L$12:L26)</f>
        <v>0</v>
      </c>
    </row>
    <row r="28" spans="1:17" ht="13.5" thickTop="1"/>
    <row r="29" spans="1:17">
      <c r="G29" s="11" t="s">
        <v>40</v>
      </c>
      <c r="H29" s="24">
        <f>H27*3.6725</f>
        <v>9885.5253249999987</v>
      </c>
    </row>
    <row r="32" spans="1:17">
      <c r="H32" s="24"/>
    </row>
  </sheetData>
  <mergeCells count="4">
    <mergeCell ref="B7:D7"/>
    <mergeCell ref="B8:D8"/>
    <mergeCell ref="B9:D9"/>
    <mergeCell ref="B27:G27"/>
  </mergeCells>
  <phoneticPr fontId="3" type="noConversion"/>
  <hyperlinks>
    <hyperlink ref="I8" location="SEPT!A1" display="BAMF0017824" xr:uid="{88A31809-1662-4B28-9EC1-F982FF9A754C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41A03-83F4-48DD-AE3F-84DFB12CB7F8}">
  <sheetPr codeName="Sheet132">
    <tabColor rgb="FF92D050"/>
  </sheetPr>
  <dimension ref="A5:R27"/>
  <sheetViews>
    <sheetView zoomScale="85" zoomScaleNormal="85" workbookViewId="0">
      <selection activeCell="I8" sqref="I8"/>
    </sheetView>
  </sheetViews>
  <sheetFormatPr defaultColWidth="9.125" defaultRowHeight="13.15"/>
  <cols>
    <col min="1" max="1" width="9.125" style="11"/>
    <col min="2" max="2" width="5.875" style="11" bestFit="1" customWidth="1"/>
    <col min="3" max="3" width="13.6875" style="11" bestFit="1" customWidth="1"/>
    <col min="4" max="4" width="22.3125" style="11" bestFit="1" customWidth="1"/>
    <col min="5" max="5" width="8.375" style="11" bestFit="1" customWidth="1"/>
    <col min="6" max="6" width="7.875" style="11" bestFit="1" customWidth="1"/>
    <col min="7" max="7" width="5.125" style="11" bestFit="1" customWidth="1"/>
    <col min="8" max="8" width="17.375" style="11" bestFit="1" customWidth="1"/>
    <col min="9" max="9" width="27.375" style="11" bestFit="1" customWidth="1"/>
    <col min="10" max="10" width="9.6875" style="11" bestFit="1" customWidth="1"/>
    <col min="11" max="11" width="10.875" style="11" bestFit="1" customWidth="1"/>
    <col min="12" max="12" width="12.125" style="11" bestFit="1" customWidth="1"/>
    <col min="13" max="13" width="10.125" style="11" bestFit="1" customWidth="1"/>
    <col min="14" max="15" width="10.6875" style="11" customWidth="1"/>
    <col min="16" max="17" width="80.6875" style="11" customWidth="1"/>
    <col min="18" max="18" width="110.6875" style="11" customWidth="1"/>
    <col min="19" max="16384" width="9.125" style="11"/>
  </cols>
  <sheetData>
    <row r="5" spans="2:18" ht="13.5" thickBot="1"/>
    <row r="6" spans="2:18" ht="13.9" thickTop="1" thickBot="1">
      <c r="B6" s="11" t="s">
        <v>23</v>
      </c>
      <c r="H6" s="12" t="s">
        <v>24</v>
      </c>
      <c r="I6" s="13">
        <f ca="1">TODAY()</f>
        <v>45944</v>
      </c>
    </row>
    <row r="7" spans="2:18" ht="13.9" thickTop="1" thickBot="1">
      <c r="B7" s="77" t="s">
        <v>25</v>
      </c>
      <c r="C7" s="77"/>
      <c r="D7" s="77"/>
      <c r="H7" s="12" t="s">
        <v>26</v>
      </c>
      <c r="I7" s="14" t="s">
        <v>27</v>
      </c>
    </row>
    <row r="8" spans="2:18" ht="13.9" thickTop="1" thickBot="1">
      <c r="B8" s="78" t="s">
        <v>28</v>
      </c>
      <c r="C8" s="78"/>
      <c r="D8" s="78"/>
      <c r="H8" s="12" t="s">
        <v>29</v>
      </c>
      <c r="I8" s="15" t="s">
        <v>219</v>
      </c>
    </row>
    <row r="9" spans="2:18" ht="13.9" thickTop="1" thickBot="1">
      <c r="B9" s="78" t="s">
        <v>30</v>
      </c>
      <c r="C9" s="78"/>
      <c r="D9" s="78"/>
      <c r="H9" s="12" t="s">
        <v>31</v>
      </c>
      <c r="I9" s="16" t="s">
        <v>221</v>
      </c>
    </row>
    <row r="10" spans="2:18" ht="13.9" thickTop="1" thickBot="1"/>
    <row r="11" spans="2:18" ht="17.649999999999999" thickTop="1" thickBot="1">
      <c r="B11" s="17" t="s">
        <v>1</v>
      </c>
      <c r="C11" s="17" t="s">
        <v>33</v>
      </c>
      <c r="D11" s="18" t="s">
        <v>34</v>
      </c>
      <c r="E11" s="18" t="s">
        <v>35</v>
      </c>
      <c r="F11" s="43" t="s">
        <v>243</v>
      </c>
      <c r="G11" s="18" t="s">
        <v>36</v>
      </c>
      <c r="H11" s="18" t="s">
        <v>37</v>
      </c>
      <c r="I11" s="18" t="s">
        <v>38</v>
      </c>
      <c r="J11" s="47" t="s">
        <v>264</v>
      </c>
      <c r="K11" s="47" t="s">
        <v>265</v>
      </c>
      <c r="L11" s="47" t="s">
        <v>266</v>
      </c>
      <c r="N11" s="52" t="s">
        <v>1</v>
      </c>
      <c r="O11" s="53" t="s">
        <v>273</v>
      </c>
      <c r="P11" s="53" t="s">
        <v>310</v>
      </c>
      <c r="Q11" s="53" t="s">
        <v>274</v>
      </c>
      <c r="R11" s="53" t="s">
        <v>311</v>
      </c>
    </row>
    <row r="12" spans="2:18" ht="17.649999999999999" thickTop="1" thickBot="1">
      <c r="B12" s="19">
        <v>1</v>
      </c>
      <c r="C12" s="19" t="s">
        <v>201</v>
      </c>
      <c r="D12" s="20" t="s">
        <v>204</v>
      </c>
      <c r="E12" s="21">
        <v>150</v>
      </c>
      <c r="F12" s="44"/>
      <c r="G12" s="22">
        <v>1</v>
      </c>
      <c r="H12" s="23">
        <f>E12*G12</f>
        <v>150</v>
      </c>
      <c r="I12" s="20" t="s">
        <v>51</v>
      </c>
      <c r="J12" s="31">
        <f t="shared" ref="J12:J16" si="0">ROUND($E12,2)</f>
        <v>150</v>
      </c>
      <c r="K12" s="31">
        <f t="shared" ref="K12:K16" si="1">J12*$G12</f>
        <v>150</v>
      </c>
      <c r="L12" s="31">
        <f t="shared" ref="L12:L16" si="2">K12-$H12</f>
        <v>0</v>
      </c>
      <c r="N12" s="51">
        <v>1</v>
      </c>
      <c r="O12" s="54" t="s">
        <v>276</v>
      </c>
      <c r="P12" s="54" t="s">
        <v>312</v>
      </c>
      <c r="Q12" s="55" t="s">
        <v>313</v>
      </c>
      <c r="R12" s="54" t="s">
        <v>314</v>
      </c>
    </row>
    <row r="13" spans="2:18" ht="17.649999999999999" thickTop="1" thickBot="1">
      <c r="B13" s="19">
        <v>2</v>
      </c>
      <c r="C13" s="19" t="s">
        <v>201</v>
      </c>
      <c r="D13" s="20" t="s">
        <v>207</v>
      </c>
      <c r="E13" s="21">
        <v>8.58</v>
      </c>
      <c r="F13" s="44"/>
      <c r="G13" s="22">
        <v>1</v>
      </c>
      <c r="H13" s="23">
        <f t="shared" ref="H13:H23" si="3">E13*G13</f>
        <v>8.58</v>
      </c>
      <c r="I13" s="20" t="s">
        <v>51</v>
      </c>
      <c r="J13" s="31">
        <f t="shared" si="0"/>
        <v>8.58</v>
      </c>
      <c r="K13" s="31">
        <f t="shared" si="1"/>
        <v>8.58</v>
      </c>
      <c r="L13" s="31">
        <f t="shared" si="2"/>
        <v>0</v>
      </c>
      <c r="N13" s="51">
        <v>2</v>
      </c>
      <c r="O13" s="54" t="s">
        <v>276</v>
      </c>
      <c r="P13" s="54" t="s">
        <v>315</v>
      </c>
      <c r="Q13" s="55" t="s">
        <v>316</v>
      </c>
      <c r="R13" s="54" t="s">
        <v>317</v>
      </c>
    </row>
    <row r="14" spans="2:18" ht="17.649999999999999" thickTop="1" thickBot="1">
      <c r="B14" s="19">
        <v>3</v>
      </c>
      <c r="C14" s="19" t="s">
        <v>201</v>
      </c>
      <c r="D14" s="20" t="s">
        <v>222</v>
      </c>
      <c r="E14" s="21">
        <v>125</v>
      </c>
      <c r="F14" s="44"/>
      <c r="G14" s="22">
        <v>1</v>
      </c>
      <c r="H14" s="23">
        <f t="shared" si="3"/>
        <v>125</v>
      </c>
      <c r="I14" s="20" t="s">
        <v>51</v>
      </c>
      <c r="J14" s="31">
        <f t="shared" si="0"/>
        <v>125</v>
      </c>
      <c r="K14" s="31">
        <f t="shared" si="1"/>
        <v>125</v>
      </c>
      <c r="L14" s="31">
        <f t="shared" si="2"/>
        <v>0</v>
      </c>
      <c r="N14" s="51">
        <v>3</v>
      </c>
      <c r="O14" s="54" t="s">
        <v>276</v>
      </c>
      <c r="P14" s="54" t="s">
        <v>318</v>
      </c>
      <c r="Q14" s="55" t="s">
        <v>319</v>
      </c>
      <c r="R14" s="54" t="s">
        <v>320</v>
      </c>
    </row>
    <row r="15" spans="2:18" ht="17.649999999999999" thickTop="1" thickBot="1">
      <c r="B15" s="19">
        <v>4</v>
      </c>
      <c r="C15" s="19" t="s">
        <v>201</v>
      </c>
      <c r="D15" s="20" t="s">
        <v>210</v>
      </c>
      <c r="E15" s="21">
        <v>150</v>
      </c>
      <c r="F15" s="44"/>
      <c r="G15" s="22">
        <v>1</v>
      </c>
      <c r="H15" s="23">
        <f t="shared" si="3"/>
        <v>150</v>
      </c>
      <c r="I15" s="20" t="s">
        <v>51</v>
      </c>
      <c r="J15" s="31">
        <f t="shared" si="0"/>
        <v>150</v>
      </c>
      <c r="K15" s="31">
        <f t="shared" si="1"/>
        <v>150</v>
      </c>
      <c r="L15" s="31">
        <f t="shared" si="2"/>
        <v>0</v>
      </c>
      <c r="N15" s="51">
        <v>4</v>
      </c>
      <c r="O15" s="54" t="s">
        <v>276</v>
      </c>
      <c r="P15" s="54" t="s">
        <v>321</v>
      </c>
      <c r="Q15" s="55" t="s">
        <v>322</v>
      </c>
      <c r="R15" s="54" t="s">
        <v>323</v>
      </c>
    </row>
    <row r="16" spans="2:18" ht="17.649999999999999" thickTop="1" thickBot="1">
      <c r="B16" s="57">
        <v>5</v>
      </c>
      <c r="C16" s="57" t="s">
        <v>201</v>
      </c>
      <c r="D16" s="58" t="s">
        <v>223</v>
      </c>
      <c r="E16" s="59">
        <v>989.18</v>
      </c>
      <c r="F16" s="60"/>
      <c r="G16" s="61">
        <v>1</v>
      </c>
      <c r="H16" s="62">
        <f t="shared" si="3"/>
        <v>989.18</v>
      </c>
      <c r="I16" s="58" t="s">
        <v>51</v>
      </c>
      <c r="J16" s="63">
        <f t="shared" si="0"/>
        <v>989.18</v>
      </c>
      <c r="K16" s="63">
        <f t="shared" si="1"/>
        <v>989.18</v>
      </c>
      <c r="L16" s="63">
        <f t="shared" si="2"/>
        <v>0</v>
      </c>
      <c r="M16" s="64"/>
      <c r="N16" s="65">
        <v>5</v>
      </c>
      <c r="O16" s="66" t="s">
        <v>276</v>
      </c>
      <c r="P16" s="67" t="s">
        <v>421</v>
      </c>
      <c r="Q16" s="67" t="s">
        <v>420</v>
      </c>
      <c r="R16" s="54" t="s">
        <v>324</v>
      </c>
    </row>
    <row r="17" spans="1:12" ht="13.9" thickTop="1" thickBot="1">
      <c r="B17" s="19"/>
      <c r="C17" s="19"/>
      <c r="D17" s="20"/>
      <c r="E17" s="21"/>
      <c r="F17" s="41"/>
      <c r="G17" s="22">
        <v>1</v>
      </c>
      <c r="H17" s="23">
        <f t="shared" si="3"/>
        <v>0</v>
      </c>
      <c r="I17" s="20" t="s">
        <v>51</v>
      </c>
      <c r="J17" s="31"/>
      <c r="K17" s="31"/>
      <c r="L17" s="31"/>
    </row>
    <row r="18" spans="1:12" ht="13.9" thickTop="1" thickBot="1">
      <c r="B18" s="19"/>
      <c r="C18" s="19"/>
      <c r="D18" s="20"/>
      <c r="E18" s="21"/>
      <c r="F18" s="41"/>
      <c r="G18" s="22">
        <v>1</v>
      </c>
      <c r="H18" s="23">
        <f t="shared" si="3"/>
        <v>0</v>
      </c>
      <c r="I18" s="20" t="s">
        <v>51</v>
      </c>
      <c r="J18" s="31"/>
      <c r="K18" s="31"/>
      <c r="L18" s="31"/>
    </row>
    <row r="19" spans="1:12" ht="13.9" thickTop="1" thickBot="1">
      <c r="B19" s="19"/>
      <c r="C19" s="19"/>
      <c r="D19" s="20"/>
      <c r="E19" s="21"/>
      <c r="F19" s="41"/>
      <c r="G19" s="22">
        <v>1</v>
      </c>
      <c r="H19" s="23">
        <f t="shared" si="3"/>
        <v>0</v>
      </c>
      <c r="I19" s="20" t="s">
        <v>51</v>
      </c>
      <c r="J19" s="31"/>
      <c r="K19" s="31"/>
      <c r="L19" s="31"/>
    </row>
    <row r="20" spans="1:12" ht="13.9" thickTop="1" thickBot="1">
      <c r="B20" s="19"/>
      <c r="C20" s="19"/>
      <c r="D20" s="20"/>
      <c r="E20" s="21"/>
      <c r="F20" s="41"/>
      <c r="G20" s="22"/>
      <c r="H20" s="23">
        <f t="shared" si="3"/>
        <v>0</v>
      </c>
      <c r="I20" s="20"/>
      <c r="J20" s="31"/>
      <c r="K20" s="31"/>
      <c r="L20" s="31"/>
    </row>
    <row r="21" spans="1:12" ht="13.9" thickTop="1" thickBot="1">
      <c r="B21" s="19"/>
      <c r="C21" s="19"/>
      <c r="D21" s="20"/>
      <c r="E21" s="21"/>
      <c r="F21" s="41"/>
      <c r="G21" s="22"/>
      <c r="H21" s="23">
        <f t="shared" si="3"/>
        <v>0</v>
      </c>
      <c r="I21" s="20"/>
      <c r="J21" s="31"/>
      <c r="K21" s="31"/>
      <c r="L21" s="31"/>
    </row>
    <row r="22" spans="1:12" ht="13.9" thickTop="1" thickBot="1">
      <c r="B22" s="19"/>
      <c r="C22" s="19"/>
      <c r="D22" s="20"/>
      <c r="E22" s="21"/>
      <c r="F22" s="41"/>
      <c r="G22" s="22"/>
      <c r="H22" s="23">
        <f t="shared" si="3"/>
        <v>0</v>
      </c>
      <c r="I22" s="20"/>
      <c r="J22" s="31"/>
      <c r="K22" s="31"/>
      <c r="L22" s="31"/>
    </row>
    <row r="23" spans="1:12" ht="13.9" thickTop="1" thickBot="1">
      <c r="B23" s="19"/>
      <c r="C23" s="19"/>
      <c r="D23" s="20"/>
      <c r="E23" s="21"/>
      <c r="F23" s="41"/>
      <c r="G23" s="22"/>
      <c r="H23" s="23">
        <f t="shared" si="3"/>
        <v>0</v>
      </c>
      <c r="I23" s="20"/>
      <c r="J23" s="31"/>
      <c r="K23" s="31"/>
      <c r="L23" s="31"/>
    </row>
    <row r="24" spans="1:12" s="29" customFormat="1" ht="13.9" thickTop="1" thickBot="1">
      <c r="A24" s="11"/>
      <c r="B24" s="25"/>
      <c r="C24" s="25"/>
      <c r="D24" s="26"/>
      <c r="E24" s="27"/>
      <c r="F24" s="27"/>
      <c r="G24" s="25"/>
      <c r="H24" s="23"/>
      <c r="I24" s="28"/>
      <c r="J24" s="49"/>
      <c r="K24" s="49"/>
      <c r="L24" s="49"/>
    </row>
    <row r="25" spans="1:12" ht="13.9" thickTop="1" thickBot="1">
      <c r="B25" s="79" t="s">
        <v>39</v>
      </c>
      <c r="C25" s="79"/>
      <c r="D25" s="79"/>
      <c r="E25" s="79"/>
      <c r="F25" s="79"/>
      <c r="G25" s="79"/>
      <c r="H25" s="30">
        <f>SUM(H12:H24)</f>
        <v>1422.76</v>
      </c>
      <c r="J25" s="31"/>
      <c r="K25" s="50">
        <f>SUM(K$12:K24)</f>
        <v>1422.76</v>
      </c>
      <c r="L25" s="50">
        <f>SUM(L$12:L24)</f>
        <v>0</v>
      </c>
    </row>
    <row r="26" spans="1:12" ht="13.5" thickTop="1"/>
    <row r="27" spans="1:12">
      <c r="G27" s="11" t="s">
        <v>40</v>
      </c>
      <c r="H27" s="24">
        <f>H25*3.6725</f>
        <v>5225.0860999999995</v>
      </c>
    </row>
  </sheetData>
  <mergeCells count="4">
    <mergeCell ref="B7:D7"/>
    <mergeCell ref="B8:D8"/>
    <mergeCell ref="B9:D9"/>
    <mergeCell ref="B25:G25"/>
  </mergeCells>
  <phoneticPr fontId="3" type="noConversion"/>
  <hyperlinks>
    <hyperlink ref="I8" location="SEPT!A1" display="BAMF0017824" xr:uid="{3A33C97B-36F3-48B2-B923-9EB41BD6FE27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138F5-C85A-4CD3-9177-C7CAA4E4C235}">
  <sheetPr codeName="Sheet133">
    <tabColor rgb="FF92D050"/>
  </sheetPr>
  <dimension ref="A5:Q25"/>
  <sheetViews>
    <sheetView zoomScaleNormal="100" workbookViewId="0">
      <selection activeCell="I8" sqref="I8"/>
    </sheetView>
  </sheetViews>
  <sheetFormatPr defaultColWidth="9.125" defaultRowHeight="13.15"/>
  <cols>
    <col min="1" max="1" width="9.125" style="11"/>
    <col min="2" max="2" width="5.875" style="11" bestFit="1" customWidth="1"/>
    <col min="3" max="3" width="13.6875" style="11" bestFit="1" customWidth="1"/>
    <col min="4" max="4" width="36.375" style="11" bestFit="1" customWidth="1"/>
    <col min="5" max="5" width="8.375" style="11" bestFit="1" customWidth="1"/>
    <col min="6" max="6" width="7.875" style="11" bestFit="1" customWidth="1"/>
    <col min="7" max="7" width="5.125" style="11" bestFit="1" customWidth="1"/>
    <col min="8" max="8" width="17.375" style="11" bestFit="1" customWidth="1"/>
    <col min="9" max="9" width="27.375" style="11" bestFit="1" customWidth="1"/>
    <col min="10" max="10" width="9.6875" style="11" bestFit="1" customWidth="1"/>
    <col min="11" max="11" width="10.875" style="11" bestFit="1" customWidth="1"/>
    <col min="12" max="12" width="12.125" style="11" bestFit="1" customWidth="1"/>
    <col min="13" max="13" width="10.125" style="11" bestFit="1" customWidth="1"/>
    <col min="14" max="15" width="10.6875" style="11" customWidth="1"/>
    <col min="16" max="17" width="80.6875" style="11" customWidth="1"/>
    <col min="18" max="18" width="110.6875" style="11" customWidth="1"/>
    <col min="19" max="16384" width="9.125" style="11"/>
  </cols>
  <sheetData>
    <row r="5" spans="2:17" ht="13.5" thickBot="1"/>
    <row r="6" spans="2:17" ht="13.9" thickTop="1" thickBot="1">
      <c r="B6" s="11" t="s">
        <v>23</v>
      </c>
      <c r="H6" s="12" t="s">
        <v>24</v>
      </c>
      <c r="I6" s="13">
        <f ca="1">TODAY()</f>
        <v>45944</v>
      </c>
    </row>
    <row r="7" spans="2:17" ht="13.9" thickTop="1" thickBot="1">
      <c r="B7" s="77" t="s">
        <v>25</v>
      </c>
      <c r="C7" s="77"/>
      <c r="D7" s="77"/>
      <c r="H7" s="12" t="s">
        <v>26</v>
      </c>
      <c r="I7" s="14" t="s">
        <v>27</v>
      </c>
    </row>
    <row r="8" spans="2:17" ht="13.9" thickTop="1" thickBot="1">
      <c r="B8" s="78" t="s">
        <v>28</v>
      </c>
      <c r="C8" s="78"/>
      <c r="D8" s="78"/>
      <c r="H8" s="12" t="s">
        <v>29</v>
      </c>
      <c r="I8" s="15" t="s">
        <v>227</v>
      </c>
    </row>
    <row r="9" spans="2:17" ht="13.9" thickTop="1" thickBot="1">
      <c r="B9" s="78" t="s">
        <v>30</v>
      </c>
      <c r="C9" s="78"/>
      <c r="D9" s="78"/>
      <c r="H9" s="12" t="s">
        <v>31</v>
      </c>
      <c r="I9" s="16" t="s">
        <v>226</v>
      </c>
    </row>
    <row r="10" spans="2:17" ht="13.9" thickTop="1" thickBot="1"/>
    <row r="11" spans="2:17" ht="17.649999999999999" thickTop="1" thickBot="1">
      <c r="B11" s="17" t="s">
        <v>1</v>
      </c>
      <c r="C11" s="17" t="s">
        <v>33</v>
      </c>
      <c r="D11" s="18" t="s">
        <v>34</v>
      </c>
      <c r="E11" s="18" t="s">
        <v>35</v>
      </c>
      <c r="F11" s="43" t="s">
        <v>243</v>
      </c>
      <c r="G11" s="18" t="s">
        <v>36</v>
      </c>
      <c r="H11" s="18" t="s">
        <v>37</v>
      </c>
      <c r="I11" s="18" t="s">
        <v>38</v>
      </c>
      <c r="J11" s="47" t="s">
        <v>264</v>
      </c>
      <c r="K11" s="47" t="s">
        <v>265</v>
      </c>
      <c r="L11" s="47" t="s">
        <v>266</v>
      </c>
      <c r="N11" s="52" t="s">
        <v>1</v>
      </c>
      <c r="O11" s="53" t="s">
        <v>273</v>
      </c>
      <c r="P11" s="53" t="s">
        <v>274</v>
      </c>
      <c r="Q11" s="53" t="s">
        <v>275</v>
      </c>
    </row>
    <row r="12" spans="2:17" ht="17.649999999999999" thickTop="1" thickBot="1">
      <c r="B12" s="19">
        <v>1</v>
      </c>
      <c r="C12" s="19" t="s">
        <v>201</v>
      </c>
      <c r="D12" s="20" t="s">
        <v>48</v>
      </c>
      <c r="E12" s="21">
        <v>150</v>
      </c>
      <c r="F12" s="44"/>
      <c r="G12" s="22">
        <v>1</v>
      </c>
      <c r="H12" s="23">
        <f>E12*G12</f>
        <v>150</v>
      </c>
      <c r="I12" s="20" t="s">
        <v>51</v>
      </c>
      <c r="J12" s="31">
        <f t="shared" ref="J12:J17" si="0">ROUND($E12,2)</f>
        <v>150</v>
      </c>
      <c r="K12" s="31">
        <f t="shared" ref="K12:K17" si="1">J12*$G12</f>
        <v>150</v>
      </c>
      <c r="L12" s="31">
        <f t="shared" ref="L12:L17" si="2">K12-$H12</f>
        <v>0</v>
      </c>
      <c r="N12" s="51">
        <v>1</v>
      </c>
      <c r="O12" s="54" t="s">
        <v>276</v>
      </c>
      <c r="P12" s="54" t="s">
        <v>298</v>
      </c>
      <c r="Q12" s="54" t="s">
        <v>299</v>
      </c>
    </row>
    <row r="13" spans="2:17" ht="17.649999999999999" thickTop="1" thickBot="1">
      <c r="B13" s="19">
        <v>2</v>
      </c>
      <c r="C13" s="19" t="s">
        <v>201</v>
      </c>
      <c r="D13" s="20" t="s">
        <v>229</v>
      </c>
      <c r="E13" s="21">
        <v>20.010000000000002</v>
      </c>
      <c r="F13" s="44"/>
      <c r="G13" s="22">
        <v>1</v>
      </c>
      <c r="H13" s="23">
        <f t="shared" ref="H13:H21" si="3">E13*G13</f>
        <v>20.010000000000002</v>
      </c>
      <c r="I13" s="20" t="s">
        <v>51</v>
      </c>
      <c r="J13" s="31">
        <f t="shared" si="0"/>
        <v>20.010000000000002</v>
      </c>
      <c r="K13" s="31">
        <f t="shared" si="1"/>
        <v>20.010000000000002</v>
      </c>
      <c r="L13" s="31">
        <f t="shared" si="2"/>
        <v>0</v>
      </c>
      <c r="N13" s="51">
        <v>2</v>
      </c>
      <c r="O13" s="54" t="s">
        <v>276</v>
      </c>
      <c r="P13" s="54" t="s">
        <v>300</v>
      </c>
      <c r="Q13" s="55" t="s">
        <v>301</v>
      </c>
    </row>
    <row r="14" spans="2:17" ht="17.649999999999999" thickTop="1" thickBot="1">
      <c r="B14" s="19">
        <v>3</v>
      </c>
      <c r="C14" s="19" t="s">
        <v>201</v>
      </c>
      <c r="D14" s="20" t="s">
        <v>209</v>
      </c>
      <c r="E14" s="21">
        <v>125</v>
      </c>
      <c r="F14" s="44"/>
      <c r="G14" s="22">
        <v>1</v>
      </c>
      <c r="H14" s="23">
        <f t="shared" si="3"/>
        <v>125</v>
      </c>
      <c r="I14" s="20" t="s">
        <v>51</v>
      </c>
      <c r="J14" s="31">
        <f t="shared" si="0"/>
        <v>125</v>
      </c>
      <c r="K14" s="31">
        <f t="shared" si="1"/>
        <v>125</v>
      </c>
      <c r="L14" s="31">
        <f t="shared" si="2"/>
        <v>0</v>
      </c>
      <c r="N14" s="51">
        <v>3</v>
      </c>
      <c r="O14" s="54" t="s">
        <v>276</v>
      </c>
      <c r="P14" s="54" t="s">
        <v>302</v>
      </c>
      <c r="Q14" s="54" t="s">
        <v>303</v>
      </c>
    </row>
    <row r="15" spans="2:17" ht="17.649999999999999" thickTop="1" thickBot="1">
      <c r="B15" s="19">
        <v>4</v>
      </c>
      <c r="C15" s="19" t="s">
        <v>201</v>
      </c>
      <c r="D15" s="20" t="s">
        <v>230</v>
      </c>
      <c r="E15" s="21">
        <v>150</v>
      </c>
      <c r="F15" s="44"/>
      <c r="G15" s="22">
        <v>1</v>
      </c>
      <c r="H15" s="23">
        <f t="shared" si="3"/>
        <v>150</v>
      </c>
      <c r="I15" s="20" t="s">
        <v>51</v>
      </c>
      <c r="J15" s="31">
        <f t="shared" si="0"/>
        <v>150</v>
      </c>
      <c r="K15" s="31">
        <f t="shared" si="1"/>
        <v>150</v>
      </c>
      <c r="L15" s="31">
        <f t="shared" si="2"/>
        <v>0</v>
      </c>
      <c r="N15" s="51">
        <v>4</v>
      </c>
      <c r="O15" s="54" t="s">
        <v>276</v>
      </c>
      <c r="P15" s="54" t="s">
        <v>304</v>
      </c>
      <c r="Q15" s="54" t="s">
        <v>305</v>
      </c>
    </row>
    <row r="16" spans="2:17" ht="17.649999999999999" thickTop="1" thickBot="1">
      <c r="B16" s="19">
        <v>5</v>
      </c>
      <c r="C16" s="19" t="s">
        <v>201</v>
      </c>
      <c r="D16" s="20" t="s">
        <v>231</v>
      </c>
      <c r="E16" s="21">
        <v>989.18</v>
      </c>
      <c r="F16" s="44"/>
      <c r="G16" s="22">
        <v>1</v>
      </c>
      <c r="H16" s="23">
        <f t="shared" si="3"/>
        <v>989.18</v>
      </c>
      <c r="I16" s="20" t="s">
        <v>51</v>
      </c>
      <c r="J16" s="31">
        <f t="shared" si="0"/>
        <v>989.18</v>
      </c>
      <c r="K16" s="31">
        <f t="shared" si="1"/>
        <v>989.18</v>
      </c>
      <c r="L16" s="31">
        <f t="shared" si="2"/>
        <v>0</v>
      </c>
      <c r="N16" s="51">
        <v>5</v>
      </c>
      <c r="O16" s="55" t="s">
        <v>276</v>
      </c>
      <c r="P16" s="54" t="s">
        <v>306</v>
      </c>
      <c r="Q16" s="55" t="s">
        <v>307</v>
      </c>
    </row>
    <row r="17" spans="1:17" ht="17.649999999999999" thickTop="1" thickBot="1">
      <c r="B17" s="19">
        <v>6</v>
      </c>
      <c r="C17" s="19" t="s">
        <v>201</v>
      </c>
      <c r="D17" s="20" t="s">
        <v>232</v>
      </c>
      <c r="E17" s="21">
        <v>150</v>
      </c>
      <c r="F17" s="44"/>
      <c r="G17" s="22">
        <v>1</v>
      </c>
      <c r="H17" s="23">
        <f t="shared" si="3"/>
        <v>150</v>
      </c>
      <c r="I17" s="20" t="s">
        <v>51</v>
      </c>
      <c r="J17" s="31">
        <f t="shared" si="0"/>
        <v>150</v>
      </c>
      <c r="K17" s="31">
        <f t="shared" si="1"/>
        <v>150</v>
      </c>
      <c r="L17" s="31">
        <f t="shared" si="2"/>
        <v>0</v>
      </c>
      <c r="N17" s="51">
        <v>6</v>
      </c>
      <c r="O17" s="54" t="s">
        <v>276</v>
      </c>
      <c r="P17" s="54" t="s">
        <v>308</v>
      </c>
      <c r="Q17" s="54" t="s">
        <v>309</v>
      </c>
    </row>
    <row r="18" spans="1:17" ht="13.9" thickTop="1" thickBot="1">
      <c r="B18" s="19"/>
      <c r="C18" s="19"/>
      <c r="D18" s="20"/>
      <c r="E18" s="21"/>
      <c r="F18" s="41"/>
      <c r="G18" s="22"/>
      <c r="H18" s="23">
        <f t="shared" si="3"/>
        <v>0</v>
      </c>
      <c r="I18" s="20"/>
      <c r="J18" s="31"/>
      <c r="K18" s="31"/>
      <c r="L18" s="31"/>
    </row>
    <row r="19" spans="1:17" ht="13.9" thickTop="1" thickBot="1">
      <c r="B19" s="19"/>
      <c r="C19" s="19"/>
      <c r="D19" s="20"/>
      <c r="E19" s="21"/>
      <c r="F19" s="41"/>
      <c r="G19" s="22"/>
      <c r="H19" s="23">
        <f t="shared" si="3"/>
        <v>0</v>
      </c>
      <c r="I19" s="20"/>
      <c r="J19" s="31"/>
      <c r="K19" s="31"/>
      <c r="L19" s="31"/>
    </row>
    <row r="20" spans="1:17" ht="13.9" thickTop="1" thickBot="1">
      <c r="B20" s="19"/>
      <c r="C20" s="19"/>
      <c r="D20" s="20"/>
      <c r="E20" s="21"/>
      <c r="F20" s="41"/>
      <c r="G20" s="22"/>
      <c r="H20" s="23">
        <f t="shared" si="3"/>
        <v>0</v>
      </c>
      <c r="I20" s="20"/>
      <c r="J20" s="31"/>
      <c r="K20" s="31"/>
      <c r="L20" s="31"/>
    </row>
    <row r="21" spans="1:17" ht="13.9" thickTop="1" thickBot="1">
      <c r="B21" s="19"/>
      <c r="C21" s="19"/>
      <c r="D21" s="20"/>
      <c r="E21" s="21"/>
      <c r="F21" s="41"/>
      <c r="G21" s="22"/>
      <c r="H21" s="23">
        <f t="shared" si="3"/>
        <v>0</v>
      </c>
      <c r="I21" s="20"/>
      <c r="J21" s="31"/>
      <c r="K21" s="31"/>
      <c r="L21" s="31"/>
    </row>
    <row r="22" spans="1:17" s="29" customFormat="1" ht="13.9" thickTop="1" thickBot="1">
      <c r="A22" s="11"/>
      <c r="B22" s="25"/>
      <c r="C22" s="25"/>
      <c r="D22" s="26"/>
      <c r="E22" s="27"/>
      <c r="F22" s="27"/>
      <c r="G22" s="25"/>
      <c r="H22" s="23"/>
      <c r="I22" s="28"/>
      <c r="J22" s="49"/>
      <c r="K22" s="49"/>
      <c r="L22" s="49"/>
    </row>
    <row r="23" spans="1:17" ht="13.9" thickTop="1" thickBot="1">
      <c r="B23" s="79" t="s">
        <v>39</v>
      </c>
      <c r="C23" s="79"/>
      <c r="D23" s="79"/>
      <c r="E23" s="79"/>
      <c r="F23" s="79"/>
      <c r="G23" s="79"/>
      <c r="H23" s="30">
        <f>SUM(H12:H22)</f>
        <v>1584.19</v>
      </c>
      <c r="J23" s="31"/>
      <c r="K23" s="50">
        <f>SUM(K$12:K22)</f>
        <v>1584.19</v>
      </c>
      <c r="L23" s="50">
        <f>SUM(L$12:L22)</f>
        <v>0</v>
      </c>
    </row>
    <row r="24" spans="1:17" ht="13.5" thickTop="1"/>
    <row r="25" spans="1:17">
      <c r="G25" s="11" t="s">
        <v>40</v>
      </c>
      <c r="H25" s="24">
        <f>H23*3.6725</f>
        <v>5817.9377750000003</v>
      </c>
    </row>
  </sheetData>
  <mergeCells count="4">
    <mergeCell ref="B7:D7"/>
    <mergeCell ref="B8:D8"/>
    <mergeCell ref="B9:D9"/>
    <mergeCell ref="B23:G23"/>
  </mergeCells>
  <phoneticPr fontId="3" type="noConversion"/>
  <hyperlinks>
    <hyperlink ref="I8" location="SEPT!A1" display="BAMF0017824" xr:uid="{A07C01B8-6CE3-4C85-BF51-F43905F4C09B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D64A1-6526-43E5-8303-F22F2A056883}">
  <sheetPr codeName="Sheet2"/>
  <dimension ref="A1:D14"/>
  <sheetViews>
    <sheetView workbookViewId="0">
      <selection activeCell="E31" sqref="E31"/>
    </sheetView>
  </sheetViews>
  <sheetFormatPr defaultRowHeight="16.899999999999999"/>
  <cols>
    <col min="1" max="1" width="16.3125" bestFit="1" customWidth="1"/>
    <col min="2" max="2" width="44.375" bestFit="1" customWidth="1"/>
    <col min="3" max="3" width="12" bestFit="1" customWidth="1"/>
    <col min="4" max="4" width="10.3125" bestFit="1" customWidth="1"/>
    <col min="14" max="15" width="10.6875" customWidth="1"/>
    <col min="16" max="17" width="80.6875" customWidth="1"/>
    <col min="18" max="18" width="110.6875" customWidth="1"/>
  </cols>
  <sheetData>
    <row r="1" spans="1:4" s="39" customFormat="1">
      <c r="A1" s="39" t="s">
        <v>234</v>
      </c>
      <c r="B1" s="39" t="s">
        <v>235</v>
      </c>
      <c r="C1" s="39" t="s">
        <v>236</v>
      </c>
      <c r="D1" s="39" t="s">
        <v>237</v>
      </c>
    </row>
    <row r="2" spans="1:4">
      <c r="A2" s="40">
        <v>45942.626481481479</v>
      </c>
      <c r="B2" t="s">
        <v>238</v>
      </c>
      <c r="C2" t="s">
        <v>239</v>
      </c>
      <c r="D2" t="s">
        <v>240</v>
      </c>
    </row>
    <row r="3" spans="1:4">
      <c r="A3" s="40">
        <v>45942.626481481479</v>
      </c>
      <c r="B3" t="s">
        <v>241</v>
      </c>
      <c r="C3" t="s">
        <v>242</v>
      </c>
      <c r="D3" t="s">
        <v>240</v>
      </c>
    </row>
    <row r="4" spans="1:4">
      <c r="A4" s="40">
        <v>45942.626481481479</v>
      </c>
      <c r="B4" t="s">
        <v>241</v>
      </c>
      <c r="C4" t="s">
        <v>256</v>
      </c>
      <c r="D4" t="s">
        <v>240</v>
      </c>
    </row>
    <row r="5" spans="1:4">
      <c r="A5" s="40">
        <v>45942.626481481479</v>
      </c>
      <c r="B5" t="s">
        <v>241</v>
      </c>
      <c r="C5" t="s">
        <v>242</v>
      </c>
      <c r="D5" t="s">
        <v>240</v>
      </c>
    </row>
    <row r="6" spans="1:4">
      <c r="A6" s="40">
        <v>45942.626481481479</v>
      </c>
      <c r="B6" t="s">
        <v>241</v>
      </c>
      <c r="C6" t="s">
        <v>257</v>
      </c>
      <c r="D6" t="s">
        <v>240</v>
      </c>
    </row>
    <row r="7" spans="1:4">
      <c r="A7" s="40">
        <v>45942.626481481479</v>
      </c>
      <c r="B7" t="s">
        <v>258</v>
      </c>
      <c r="C7" t="s">
        <v>259</v>
      </c>
      <c r="D7" t="s">
        <v>240</v>
      </c>
    </row>
    <row r="8" spans="1:4">
      <c r="A8" s="40">
        <v>45942.626481481479</v>
      </c>
      <c r="B8" t="s">
        <v>260</v>
      </c>
      <c r="C8" t="s">
        <v>242</v>
      </c>
      <c r="D8" t="s">
        <v>240</v>
      </c>
    </row>
    <row r="9" spans="1:4">
      <c r="A9" s="40">
        <v>45942.626481481479</v>
      </c>
      <c r="B9" t="s">
        <v>260</v>
      </c>
      <c r="C9" t="s">
        <v>256</v>
      </c>
      <c r="D9" t="s">
        <v>240</v>
      </c>
    </row>
    <row r="10" spans="1:4">
      <c r="A10" s="40">
        <v>45942.626481481479</v>
      </c>
      <c r="B10" t="s">
        <v>260</v>
      </c>
      <c r="C10" t="s">
        <v>242</v>
      </c>
      <c r="D10" t="s">
        <v>240</v>
      </c>
    </row>
    <row r="11" spans="1:4">
      <c r="A11" s="40">
        <v>45942.626493055555</v>
      </c>
      <c r="B11" t="s">
        <v>260</v>
      </c>
      <c r="C11" t="s">
        <v>267</v>
      </c>
      <c r="D11" t="s">
        <v>240</v>
      </c>
    </row>
    <row r="12" spans="1:4">
      <c r="A12" s="40">
        <v>45942.626493055555</v>
      </c>
      <c r="B12" t="s">
        <v>268</v>
      </c>
      <c r="C12" t="s">
        <v>259</v>
      </c>
      <c r="D12" t="s">
        <v>240</v>
      </c>
    </row>
    <row r="13" spans="1:4">
      <c r="A13" s="40">
        <v>45942.628182870372</v>
      </c>
      <c r="B13" t="s">
        <v>271</v>
      </c>
      <c r="C13" t="s">
        <v>259</v>
      </c>
      <c r="D13" t="s">
        <v>240</v>
      </c>
    </row>
    <row r="14" spans="1:4">
      <c r="A14" s="40">
        <v>45942.628182870372</v>
      </c>
      <c r="B14" t="s">
        <v>238</v>
      </c>
      <c r="C14" t="s">
        <v>272</v>
      </c>
      <c r="D14" t="s">
        <v>240</v>
      </c>
    </row>
  </sheetData>
  <phoneticPr fontId="3" type="noConversion"/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B0E76A5882C8F4EB7943A7243FFB88C" ma:contentTypeVersion="13" ma:contentTypeDescription="Create a new document." ma:contentTypeScope="" ma:versionID="aa623593fc9762637c11719a79063bd5">
  <xsd:schema xmlns:xsd="http://www.w3.org/2001/XMLSchema" xmlns:xs="http://www.w3.org/2001/XMLSchema" xmlns:p="http://schemas.microsoft.com/office/2006/metadata/properties" xmlns:ns2="4ed7d3a9-713a-4e35-b173-170e570bbf8b" xmlns:ns3="fd376cfa-f0b6-4371-99ad-7148527816d7" targetNamespace="http://schemas.microsoft.com/office/2006/metadata/properties" ma:root="true" ma:fieldsID="54f9777af15a2c8bda82ce533e65a584" ns2:_="" ns3:_="">
    <xsd:import namespace="4ed7d3a9-713a-4e35-b173-170e570bbf8b"/>
    <xsd:import namespace="fd376cfa-f0b6-4371-99ad-7148527816d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d7d3a9-713a-4e35-b173-170e570bbf8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2e879f6f-b325-4b8f-a44f-5cc8dac506d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376cfa-f0b6-4371-99ad-7148527816d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0ebde04c-230c-4ba8-a251-9ee091403d3d}" ma:internalName="TaxCatchAll" ma:showField="CatchAllData" ma:web="fd376cfa-f0b6-4371-99ad-7148527816d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d376cfa-f0b6-4371-99ad-7148527816d7" xsi:nil="true"/>
    <lcf76f155ced4ddcb4097134ff3c332f xmlns="4ed7d3a9-713a-4e35-b173-170e570bbf8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CBBFC7D-DC93-4301-8C29-5A128953807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ed7d3a9-713a-4e35-b173-170e570bbf8b"/>
    <ds:schemaRef ds:uri="fd376cfa-f0b6-4371-99ad-7148527816d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1790E0A-7EB2-44B3-9745-661F9570244B}">
  <ds:schemaRefs>
    <ds:schemaRef ds:uri="http://purl.org/dc/dcmitype/"/>
    <ds:schemaRef ds:uri="http://schemas.microsoft.com/office/infopath/2007/PartnerControls"/>
    <ds:schemaRef ds:uri="fd376cfa-f0b6-4371-99ad-7148527816d7"/>
    <ds:schemaRef ds:uri="http://www.w3.org/XML/1998/namespace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4ed7d3a9-713a-4e35-b173-170e570bbf8b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C8291D28-3CB4-4DE6-8C42-595E4CEDC77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31</vt:i4>
      </vt:variant>
      <vt:variant>
        <vt:lpstr>이름 지정된 범위</vt:lpstr>
      </vt:variant>
      <vt:variant>
        <vt:i4>28</vt:i4>
      </vt:variant>
    </vt:vector>
  </HeadingPairs>
  <TitlesOfParts>
    <vt:vector size="59" baseType="lpstr">
      <vt:lpstr>SEPT</vt:lpstr>
      <vt:lpstr>MasterData</vt:lpstr>
      <vt:lpstr>SCT0126</vt:lpstr>
      <vt:lpstr>SCT0127</vt:lpstr>
      <vt:lpstr>SCT0038</vt:lpstr>
      <vt:lpstr>SCT0122</vt:lpstr>
      <vt:lpstr>SCT0131</vt:lpstr>
      <vt:lpstr>SCT0123,0124</vt:lpstr>
      <vt:lpstr>SCT0134</vt:lpstr>
      <vt:lpstr>HE0471</vt:lpstr>
      <vt:lpstr>HE0472</vt:lpstr>
      <vt:lpstr>HE0473</vt:lpstr>
      <vt:lpstr>HE0450,0459,0460</vt:lpstr>
      <vt:lpstr>HE0466,0467,0468</vt:lpstr>
      <vt:lpstr>HE0464,0465,0470</vt:lpstr>
      <vt:lpstr>HE0437,0438-2,0439-2,0440-1,044</vt:lpstr>
      <vt:lpstr>HE0487</vt:lpstr>
      <vt:lpstr>HE0438-0454</vt:lpstr>
      <vt:lpstr>HE0425,0426,0427,0428</vt:lpstr>
      <vt:lpstr>HE0475</vt:lpstr>
      <vt:lpstr>HE0497</vt:lpstr>
      <vt:lpstr>HE0500</vt:lpstr>
      <vt:lpstr>HE0488</vt:lpstr>
      <vt:lpstr>HE0495,0496</vt:lpstr>
      <vt:lpstr>HE0498</vt:lpstr>
      <vt:lpstr>HE0501</vt:lpstr>
      <vt:lpstr>HE0502</vt:lpstr>
      <vt:lpstr>HE0499L1</vt:lpstr>
      <vt:lpstr>HE0499L2</vt:lpstr>
      <vt:lpstr>HE0499L3</vt:lpstr>
      <vt:lpstr>LOG</vt:lpstr>
      <vt:lpstr>'HE0425,0426,0427,0428'!Print_Area</vt:lpstr>
      <vt:lpstr>'HE0437,0438-2,0439-2,0440-1,044'!Print_Area</vt:lpstr>
      <vt:lpstr>'HE0438-0454'!Print_Area</vt:lpstr>
      <vt:lpstr>'HE0450,0459,0460'!Print_Area</vt:lpstr>
      <vt:lpstr>'HE0464,0465,0470'!Print_Area</vt:lpstr>
      <vt:lpstr>'HE0466,0467,0468'!Print_Area</vt:lpstr>
      <vt:lpstr>'HE0471'!Print_Area</vt:lpstr>
      <vt:lpstr>'HE0472'!Print_Area</vt:lpstr>
      <vt:lpstr>'HE0473'!Print_Area</vt:lpstr>
      <vt:lpstr>'HE0475'!Print_Area</vt:lpstr>
      <vt:lpstr>'HE0487'!Print_Area</vt:lpstr>
      <vt:lpstr>'HE0488'!Print_Area</vt:lpstr>
      <vt:lpstr>'HE0495,0496'!Print_Area</vt:lpstr>
      <vt:lpstr>'HE0497'!Print_Area</vt:lpstr>
      <vt:lpstr>'HE0498'!Print_Area</vt:lpstr>
      <vt:lpstr>HE0499L1!Print_Area</vt:lpstr>
      <vt:lpstr>HE0499L2!Print_Area</vt:lpstr>
      <vt:lpstr>HE0499L3!Print_Area</vt:lpstr>
      <vt:lpstr>'HE0500'!Print_Area</vt:lpstr>
      <vt:lpstr>'HE0501'!Print_Area</vt:lpstr>
      <vt:lpstr>'HE0502'!Print_Area</vt:lpstr>
      <vt:lpstr>'SCT0038'!Print_Area</vt:lpstr>
      <vt:lpstr>'SCT0122'!Print_Area</vt:lpstr>
      <vt:lpstr>'SCT0123,0124'!Print_Area</vt:lpstr>
      <vt:lpstr>'SCT0126'!Print_Area</vt:lpstr>
      <vt:lpstr>'SCT0127'!Print_Area</vt:lpstr>
      <vt:lpstr>'SCT0131'!Print_Area</vt:lpstr>
      <vt:lpstr>'SCT0134'!Print_Area</vt:lpstr>
    </vt:vector>
  </TitlesOfParts>
  <Manager/>
  <Company>DSV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John Romeo Etis - DSV</dc:creator>
  <cp:keywords/>
  <dc:description/>
  <cp:lastModifiedBy>민규 차</cp:lastModifiedBy>
  <cp:revision/>
  <dcterms:created xsi:type="dcterms:W3CDTF">2024-10-22T11:57:24Z</dcterms:created>
  <dcterms:modified xsi:type="dcterms:W3CDTF">2025-10-14T17:08:47Z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c6c1fee-2f04-49ca-98cf-bcf61896c7fa_Enabled">
    <vt:lpwstr>true</vt:lpwstr>
  </property>
  <property fmtid="{D5CDD505-2E9C-101B-9397-08002B2CF9AE}" pid="3" name="MSIP_Label_fc6c1fee-2f04-49ca-98cf-bcf61896c7fa_SetDate">
    <vt:lpwstr>2024-11-01T07:55:36Z</vt:lpwstr>
  </property>
  <property fmtid="{D5CDD505-2E9C-101B-9397-08002B2CF9AE}" pid="4" name="MSIP_Label_fc6c1fee-2f04-49ca-98cf-bcf61896c7fa_Method">
    <vt:lpwstr>Standard</vt:lpwstr>
  </property>
  <property fmtid="{D5CDD505-2E9C-101B-9397-08002B2CF9AE}" pid="5" name="MSIP_Label_fc6c1fee-2f04-49ca-98cf-bcf61896c7fa_Name">
    <vt:lpwstr>Internal</vt:lpwstr>
  </property>
  <property fmtid="{D5CDD505-2E9C-101B-9397-08002B2CF9AE}" pid="6" name="MSIP_Label_fc6c1fee-2f04-49ca-98cf-bcf61896c7fa_SiteId">
    <vt:lpwstr>4a90c23a-3ece-4ef2-b857-522f23b8204c</vt:lpwstr>
  </property>
  <property fmtid="{D5CDD505-2E9C-101B-9397-08002B2CF9AE}" pid="7" name="MSIP_Label_fc6c1fee-2f04-49ca-98cf-bcf61896c7fa_ActionId">
    <vt:lpwstr>12334da4-6cdd-4fa8-96c7-6ebbb75cfdf0</vt:lpwstr>
  </property>
  <property fmtid="{D5CDD505-2E9C-101B-9397-08002B2CF9AE}" pid="8" name="MSIP_Label_fc6c1fee-2f04-49ca-98cf-bcf61896c7fa_ContentBits">
    <vt:lpwstr>2</vt:lpwstr>
  </property>
  <property fmtid="{D5CDD505-2E9C-101B-9397-08002B2CF9AE}" pid="9" name="ContentTypeId">
    <vt:lpwstr>0x010100EB0E76A5882C8F4EB7943A7243FFB88C</vt:lpwstr>
  </property>
  <property fmtid="{D5CDD505-2E9C-101B-9397-08002B2CF9AE}" pid="10" name="xd_ProgID">
    <vt:lpwstr/>
  </property>
  <property fmtid="{D5CDD505-2E9C-101B-9397-08002B2CF9AE}" pid="11" name="MediaServiceImageTags">
    <vt:lpwstr/>
  </property>
  <property fmtid="{D5CDD505-2E9C-101B-9397-08002B2CF9AE}" pid="12" name="ComplianceAssetId">
    <vt:lpwstr/>
  </property>
  <property fmtid="{D5CDD505-2E9C-101B-9397-08002B2CF9AE}" pid="13" name="TemplateUrl">
    <vt:lpwstr/>
  </property>
  <property fmtid="{D5CDD505-2E9C-101B-9397-08002B2CF9AE}" pid="14" name="_ExtendedDescription">
    <vt:lpwstr/>
  </property>
  <property fmtid="{D5CDD505-2E9C-101B-9397-08002B2CF9AE}" pid="15" name="TriggerFlowInfo">
    <vt:lpwstr/>
  </property>
  <property fmtid="{D5CDD505-2E9C-101B-9397-08002B2CF9AE}" pid="16" name="xd_Signature">
    <vt:bool>false</vt:bool>
  </property>
</Properties>
</file>