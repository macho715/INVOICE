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svcorp.sharepoint.com/teams/BillingTeam161/Shared Documents/Projects/2025/09.SAMSUNG C&amp;T  6410059266 P13/09. September 2025/01. Shipment/"/>
    </mc:Choice>
  </mc:AlternateContent>
  <xr:revisionPtr revIDLastSave="9382" documentId="8_{D221B5B5-B235-432B-87B6-1901B6A39A7E}" xr6:coauthVersionLast="47" xr6:coauthVersionMax="47" xr10:uidLastSave="{28324CAD-E2E6-4A3A-89E4-4FE3C2CC981A}"/>
  <bookViews>
    <workbookView xWindow="-120" yWindow="-120" windowWidth="29040" windowHeight="15720" tabRatio="973" xr2:uid="{E368CC25-D9FB-465E-B37D-F931E120D76E}"/>
  </bookViews>
  <sheets>
    <sheet name="SEPT" sheetId="125" r:id="rId1"/>
    <sheet name="SCT0126" sheetId="248" r:id="rId2"/>
    <sheet name="SCT0127" sheetId="263" r:id="rId3"/>
    <sheet name="SCT0038" sheetId="261" r:id="rId4"/>
    <sheet name="SCT0122" sheetId="249" r:id="rId5"/>
    <sheet name="SCT0131" sheetId="250" r:id="rId6"/>
    <sheet name="SCT0123,0124" sheetId="257" r:id="rId7"/>
    <sheet name="SCT0134" sheetId="262" r:id="rId8"/>
    <sheet name="HE0471" sheetId="251" r:id="rId9"/>
    <sheet name="HE0472" sheetId="252" r:id="rId10"/>
    <sheet name="HE0473" sheetId="253" r:id="rId11"/>
    <sheet name="HE0450,0459,0460" sheetId="254" r:id="rId12"/>
    <sheet name="HE0466,0467,0468" sheetId="260" r:id="rId13"/>
    <sheet name="HE0464,0465,0470" sheetId="256" r:id="rId14"/>
    <sheet name="HE0437,0438-2,0439-2,0440-1,044" sheetId="258" r:id="rId15"/>
    <sheet name="HE0487" sheetId="255" r:id="rId16"/>
    <sheet name="HE0438-0454" sheetId="264" r:id="rId17"/>
    <sheet name="HE0425,0426,0427,0428" sheetId="265" r:id="rId18"/>
    <sheet name="HE0475" sheetId="266" r:id="rId19"/>
    <sheet name="HE0497" sheetId="267" r:id="rId20"/>
    <sheet name="HE0500" sheetId="259" r:id="rId21"/>
    <sheet name="HE0488" sheetId="268" r:id="rId22"/>
    <sheet name="HE0495,0496" sheetId="269" r:id="rId23"/>
    <sheet name="HE0498" sheetId="270" r:id="rId24"/>
    <sheet name="HE0501" sheetId="271" r:id="rId25"/>
    <sheet name="HE0502" sheetId="272" r:id="rId26"/>
    <sheet name="HE0499L1" sheetId="273" r:id="rId27"/>
    <sheet name="HE0499L2" sheetId="274" r:id="rId28"/>
    <sheet name="HE0499L3" sheetId="275" r:id="rId29"/>
  </sheets>
  <definedNames>
    <definedName name="_xlnm._FilterDatabase" localSheetId="0" hidden="1">SEPT!$C$4:$AA$34</definedName>
    <definedName name="_xlnm.Print_Area" localSheetId="17">'HE0425,0426,0427,0428'!$A$5:$H$21</definedName>
    <definedName name="_xlnm.Print_Area" localSheetId="14">'HE0437,0438-2,0439-2,0440-1,044'!$A$5:$H$21</definedName>
    <definedName name="_xlnm.Print_Area" localSheetId="16">'HE0438-0454'!$A$5:$H$21</definedName>
    <definedName name="_xlnm.Print_Area" localSheetId="11">'HE0450,0459,0460'!$A$5:$H$21</definedName>
    <definedName name="_xlnm.Print_Area" localSheetId="13">'HE0464,0465,0470'!$A$5:$H$21</definedName>
    <definedName name="_xlnm.Print_Area" localSheetId="12">'HE0466,0467,0468'!$A$5:$H$21</definedName>
    <definedName name="_xlnm.Print_Area" localSheetId="8">'HE0471'!$A$5:$H$21</definedName>
    <definedName name="_xlnm.Print_Area" localSheetId="9">'HE0472'!$A$5:$H$21</definedName>
    <definedName name="_xlnm.Print_Area" localSheetId="10">'HE0473'!$A$5:$H$21</definedName>
    <definedName name="_xlnm.Print_Area" localSheetId="18">'HE0475'!$A$5:$H$21</definedName>
    <definedName name="_xlnm.Print_Area" localSheetId="15">'HE0487'!$A$5:$H$21</definedName>
    <definedName name="_xlnm.Print_Area" localSheetId="21">'HE0488'!$A$5:$H$21</definedName>
    <definedName name="_xlnm.Print_Area" localSheetId="22">'HE0495,0496'!$A$5:$H$21</definedName>
    <definedName name="_xlnm.Print_Area" localSheetId="19">'HE0497'!$A$5:$H$21</definedName>
    <definedName name="_xlnm.Print_Area" localSheetId="23">'HE0498'!$A$5:$H$21</definedName>
    <definedName name="_xlnm.Print_Area" localSheetId="26">HE0499L1!$A$5:$H$28</definedName>
    <definedName name="_xlnm.Print_Area" localSheetId="27">HE0499L2!$A$5:$H$26</definedName>
    <definedName name="_xlnm.Print_Area" localSheetId="28">HE0499L3!$A$5:$H$24</definedName>
    <definedName name="_xlnm.Print_Area" localSheetId="20">'HE0500'!$A$5:$H$21</definedName>
    <definedName name="_xlnm.Print_Area" localSheetId="24">'HE0501'!$A$5:$H$21</definedName>
    <definedName name="_xlnm.Print_Area" localSheetId="25">'HE0502'!$A$5:$H$21</definedName>
    <definedName name="_xlnm.Print_Area" localSheetId="3">'SCT0038'!$A$5:$H$22</definedName>
    <definedName name="_xlnm.Print_Area" localSheetId="4">'SCT0122'!$A$5:$H$28</definedName>
    <definedName name="_xlnm.Print_Area" localSheetId="6">'SCT0123,0124'!$A$5:$H$29</definedName>
    <definedName name="_xlnm.Print_Area" localSheetId="1">'SCT0126'!$A$5:$H$28</definedName>
    <definedName name="_xlnm.Print_Area" localSheetId="2">'SCT0127'!$A$5:$H$28</definedName>
    <definedName name="_xlnm.Print_Area" localSheetId="5">'SCT0131'!$A$5:$H$27</definedName>
    <definedName name="_xlnm.Print_Area" localSheetId="7">'SCT0134'!$A$5:$H$27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2" i="125" l="1"/>
  <c r="G21" i="275"/>
  <c r="G20" i="275"/>
  <c r="G19" i="275"/>
  <c r="G18" i="275"/>
  <c r="G17" i="275"/>
  <c r="G16" i="275"/>
  <c r="G15" i="275"/>
  <c r="G14" i="275"/>
  <c r="G13" i="275"/>
  <c r="G12" i="275"/>
  <c r="H6" i="275"/>
  <c r="X31" i="125"/>
  <c r="G23" i="274"/>
  <c r="G22" i="274"/>
  <c r="G21" i="274"/>
  <c r="G20" i="274"/>
  <c r="G19" i="274"/>
  <c r="G18" i="274"/>
  <c r="G17" i="274"/>
  <c r="G16" i="274"/>
  <c r="G15" i="274"/>
  <c r="G14" i="274"/>
  <c r="G13" i="274"/>
  <c r="G12" i="274"/>
  <c r="H6" i="274"/>
  <c r="G13" i="273"/>
  <c r="G14" i="273"/>
  <c r="G15" i="273"/>
  <c r="G16" i="273"/>
  <c r="G17" i="273"/>
  <c r="G18" i="273"/>
  <c r="G19" i="273"/>
  <c r="G20" i="273"/>
  <c r="G21" i="273"/>
  <c r="G25" i="273"/>
  <c r="G24" i="273"/>
  <c r="G23" i="273"/>
  <c r="G22" i="273"/>
  <c r="G12" i="273"/>
  <c r="H6" i="273"/>
  <c r="R29" i="125"/>
  <c r="Q29" i="125"/>
  <c r="G18" i="272"/>
  <c r="G17" i="272"/>
  <c r="G16" i="272"/>
  <c r="G15" i="272"/>
  <c r="G14" i="272"/>
  <c r="G13" i="272"/>
  <c r="G20" i="272" s="1"/>
  <c r="G22" i="272" s="1"/>
  <c r="H6" i="272"/>
  <c r="R28" i="125"/>
  <c r="Q28" i="125"/>
  <c r="G18" i="271"/>
  <c r="G17" i="271"/>
  <c r="G16" i="271"/>
  <c r="G15" i="271"/>
  <c r="G14" i="271"/>
  <c r="G13" i="271"/>
  <c r="G20" i="271" s="1"/>
  <c r="G22" i="271" s="1"/>
  <c r="H6" i="271"/>
  <c r="R27" i="125"/>
  <c r="Q27" i="125"/>
  <c r="G18" i="270"/>
  <c r="G17" i="270"/>
  <c r="G16" i="270"/>
  <c r="G15" i="270"/>
  <c r="G14" i="270"/>
  <c r="G13" i="270"/>
  <c r="G20" i="270" s="1"/>
  <c r="G22" i="270" s="1"/>
  <c r="H6" i="270"/>
  <c r="R26" i="125"/>
  <c r="Q26" i="125"/>
  <c r="G18" i="269"/>
  <c r="G17" i="269"/>
  <c r="G16" i="269"/>
  <c r="G15" i="269"/>
  <c r="G14" i="269"/>
  <c r="G13" i="269"/>
  <c r="H6" i="269"/>
  <c r="R25" i="125"/>
  <c r="Q25" i="125"/>
  <c r="G18" i="268"/>
  <c r="G17" i="268"/>
  <c r="G16" i="268"/>
  <c r="G15" i="268"/>
  <c r="G14" i="268"/>
  <c r="G13" i="268"/>
  <c r="G20" i="268" s="1"/>
  <c r="G22" i="268" s="1"/>
  <c r="H6" i="268"/>
  <c r="G23" i="275" l="1"/>
  <c r="G25" i="275" s="1"/>
  <c r="G25" i="274"/>
  <c r="G27" i="274" s="1"/>
  <c r="G27" i="273"/>
  <c r="G20" i="269"/>
  <c r="G22" i="269" s="1"/>
  <c r="R24" i="125"/>
  <c r="Q24" i="125"/>
  <c r="G18" i="267"/>
  <c r="G17" i="267"/>
  <c r="G16" i="267"/>
  <c r="G15" i="267"/>
  <c r="G14" i="267"/>
  <c r="G20" i="267" s="1"/>
  <c r="G22" i="267" s="1"/>
  <c r="G13" i="267"/>
  <c r="Q23" i="125" s="1"/>
  <c r="H6" i="267"/>
  <c r="R22" i="125"/>
  <c r="Q22" i="125"/>
  <c r="Z22" i="125" s="1"/>
  <c r="G18" i="266"/>
  <c r="G17" i="266"/>
  <c r="G16" i="266"/>
  <c r="G15" i="266"/>
  <c r="G14" i="266"/>
  <c r="G13" i="266"/>
  <c r="G20" i="266" s="1"/>
  <c r="G22" i="266" s="1"/>
  <c r="H6" i="266"/>
  <c r="R21" i="125"/>
  <c r="Q21" i="125"/>
  <c r="Z21" i="125" s="1"/>
  <c r="G18" i="265"/>
  <c r="G17" i="265"/>
  <c r="G16" i="265"/>
  <c r="G15" i="265"/>
  <c r="G14" i="265"/>
  <c r="G20" i="265" s="1"/>
  <c r="G22" i="265" s="1"/>
  <c r="G13" i="265"/>
  <c r="H6" i="265"/>
  <c r="R20" i="125"/>
  <c r="Q20" i="125"/>
  <c r="M20" i="125"/>
  <c r="G18" i="264"/>
  <c r="G17" i="264"/>
  <c r="G16" i="264"/>
  <c r="G15" i="264"/>
  <c r="G14" i="264"/>
  <c r="G13" i="264"/>
  <c r="G20" i="264" s="1"/>
  <c r="G22" i="264" s="1"/>
  <c r="H6" i="264"/>
  <c r="Z25" i="125"/>
  <c r="Z26" i="125"/>
  <c r="Z27" i="125"/>
  <c r="R19" i="125"/>
  <c r="Q19" i="125"/>
  <c r="R18" i="125"/>
  <c r="Q18" i="125"/>
  <c r="R17" i="125"/>
  <c r="Q17" i="125"/>
  <c r="G14" i="260"/>
  <c r="R16" i="125"/>
  <c r="Q16" i="125"/>
  <c r="R15" i="125"/>
  <c r="Q15" i="125"/>
  <c r="R14" i="125"/>
  <c r="Q14" i="125"/>
  <c r="R13" i="125"/>
  <c r="Q13" i="125"/>
  <c r="R12" i="125"/>
  <c r="Q12" i="125"/>
  <c r="Y6" i="125"/>
  <c r="U6" i="125"/>
  <c r="T6" i="125"/>
  <c r="R6" i="125"/>
  <c r="Q6" i="125"/>
  <c r="E19" i="263"/>
  <c r="E18" i="263"/>
  <c r="H6" i="263"/>
  <c r="G25" i="263"/>
  <c r="G24" i="263"/>
  <c r="G23" i="263"/>
  <c r="G22" i="263"/>
  <c r="G21" i="263"/>
  <c r="G20" i="263"/>
  <c r="G19" i="263"/>
  <c r="G18" i="263"/>
  <c r="G17" i="263"/>
  <c r="G16" i="263"/>
  <c r="G15" i="263"/>
  <c r="G14" i="263"/>
  <c r="G13" i="263"/>
  <c r="Y11" i="125"/>
  <c r="U11" i="125"/>
  <c r="T11" i="125"/>
  <c r="R11" i="125"/>
  <c r="Q11" i="125"/>
  <c r="Y10" i="125"/>
  <c r="U10" i="125"/>
  <c r="T10" i="125"/>
  <c r="R10" i="125"/>
  <c r="Q10" i="125"/>
  <c r="E13" i="261"/>
  <c r="E19" i="249"/>
  <c r="Z6" i="125" l="1"/>
  <c r="G29" i="273"/>
  <c r="X30" i="125"/>
  <c r="Z24" i="125"/>
  <c r="R23" i="125"/>
  <c r="Z23" i="125" s="1"/>
  <c r="Z11" i="125"/>
  <c r="G27" i="263"/>
  <c r="G29" i="263" s="1"/>
  <c r="E17" i="262" l="1"/>
  <c r="G17" i="262" s="1"/>
  <c r="G24" i="262"/>
  <c r="G23" i="262"/>
  <c r="G22" i="262"/>
  <c r="G21" i="262"/>
  <c r="G20" i="262"/>
  <c r="E18" i="262"/>
  <c r="G18" i="262" s="1"/>
  <c r="E19" i="262"/>
  <c r="G19" i="262" s="1"/>
  <c r="G16" i="262"/>
  <c r="G15" i="262"/>
  <c r="G14" i="262"/>
  <c r="G13" i="262"/>
  <c r="H6" i="262"/>
  <c r="G13" i="261"/>
  <c r="G19" i="261"/>
  <c r="G18" i="261"/>
  <c r="G17" i="261"/>
  <c r="G16" i="261"/>
  <c r="G15" i="261"/>
  <c r="G14" i="261"/>
  <c r="H6" i="261"/>
  <c r="G21" i="261" l="1"/>
  <c r="G23" i="261" s="1"/>
  <c r="Y7" i="125"/>
  <c r="Z7" i="125" s="1"/>
  <c r="G26" i="262"/>
  <c r="G28" i="262" s="1"/>
  <c r="G18" i="260"/>
  <c r="G17" i="260"/>
  <c r="G16" i="260"/>
  <c r="G15" i="260"/>
  <c r="G13" i="260"/>
  <c r="G20" i="260" s="1"/>
  <c r="G22" i="260" s="1"/>
  <c r="H6" i="260"/>
  <c r="G18" i="259"/>
  <c r="G17" i="259"/>
  <c r="G16" i="259"/>
  <c r="G15" i="259"/>
  <c r="G14" i="259"/>
  <c r="G13" i="259"/>
  <c r="H6" i="259"/>
  <c r="G18" i="258"/>
  <c r="G17" i="258"/>
  <c r="G16" i="258"/>
  <c r="G15" i="258"/>
  <c r="G14" i="258"/>
  <c r="G13" i="258"/>
  <c r="G20" i="258" s="1"/>
  <c r="G22" i="258" s="1"/>
  <c r="H6" i="258"/>
  <c r="G20" i="259" l="1"/>
  <c r="G22" i="259" s="1"/>
  <c r="E21" i="257"/>
  <c r="E20" i="257"/>
  <c r="E19" i="257" l="1"/>
  <c r="G19" i="257" s="1"/>
  <c r="E18" i="257"/>
  <c r="E17" i="257"/>
  <c r="G17" i="257" s="1"/>
  <c r="G26" i="257"/>
  <c r="G25" i="257"/>
  <c r="G24" i="257"/>
  <c r="G23" i="257"/>
  <c r="G22" i="257"/>
  <c r="G21" i="257"/>
  <c r="G20" i="257"/>
  <c r="G18" i="257"/>
  <c r="G16" i="257"/>
  <c r="G15" i="257"/>
  <c r="G14" i="257"/>
  <c r="G13" i="257"/>
  <c r="H6" i="257"/>
  <c r="G28" i="257" l="1"/>
  <c r="G30" i="257" s="1"/>
  <c r="G18" i="256" l="1"/>
  <c r="G17" i="256"/>
  <c r="G16" i="256"/>
  <c r="G15" i="256"/>
  <c r="G14" i="256"/>
  <c r="G13" i="256"/>
  <c r="G20" i="256" s="1"/>
  <c r="G22" i="256" s="1"/>
  <c r="H6" i="256"/>
  <c r="G18" i="255"/>
  <c r="G17" i="255"/>
  <c r="G16" i="255"/>
  <c r="G15" i="255"/>
  <c r="G14" i="255"/>
  <c r="G13" i="255"/>
  <c r="G20" i="255" s="1"/>
  <c r="G22" i="255" s="1"/>
  <c r="H6" i="255"/>
  <c r="G18" i="254"/>
  <c r="G17" i="254"/>
  <c r="G16" i="254"/>
  <c r="G15" i="254"/>
  <c r="G14" i="254"/>
  <c r="G13" i="254"/>
  <c r="G20" i="254" s="1"/>
  <c r="G22" i="254" s="1"/>
  <c r="H6" i="254"/>
  <c r="G18" i="253" l="1"/>
  <c r="G17" i="253"/>
  <c r="G16" i="253"/>
  <c r="G15" i="253"/>
  <c r="G14" i="253"/>
  <c r="G13" i="253"/>
  <c r="G20" i="253" s="1"/>
  <c r="G22" i="253" s="1"/>
  <c r="H6" i="253"/>
  <c r="G18" i="252"/>
  <c r="G17" i="252"/>
  <c r="G16" i="252"/>
  <c r="G15" i="252"/>
  <c r="G14" i="252"/>
  <c r="G13" i="252"/>
  <c r="G20" i="252" s="1"/>
  <c r="G22" i="252" s="1"/>
  <c r="H6" i="252"/>
  <c r="G18" i="251"/>
  <c r="G17" i="251"/>
  <c r="G16" i="251"/>
  <c r="G15" i="251"/>
  <c r="G14" i="251"/>
  <c r="G13" i="251"/>
  <c r="G20" i="251" s="1"/>
  <c r="G22" i="251" s="1"/>
  <c r="H6" i="251"/>
  <c r="Q8" i="125" l="1"/>
  <c r="E18" i="250"/>
  <c r="G18" i="250" s="1"/>
  <c r="E17" i="250"/>
  <c r="G17" i="250" s="1"/>
  <c r="Y9" i="125" s="1"/>
  <c r="G24" i="250"/>
  <c r="G23" i="250"/>
  <c r="G22" i="250"/>
  <c r="G21" i="250"/>
  <c r="G20" i="250"/>
  <c r="G19" i="250"/>
  <c r="G16" i="250"/>
  <c r="U9" i="125" s="1"/>
  <c r="G15" i="250"/>
  <c r="T9" i="125" s="1"/>
  <c r="G14" i="250"/>
  <c r="R9" i="125" s="1"/>
  <c r="G13" i="250"/>
  <c r="Q9" i="125" s="1"/>
  <c r="H6" i="250"/>
  <c r="E18" i="249"/>
  <c r="G18" i="249" s="1"/>
  <c r="E17" i="249"/>
  <c r="G17" i="249" s="1"/>
  <c r="G25" i="249"/>
  <c r="G24" i="249"/>
  <c r="G23" i="249"/>
  <c r="G22" i="249"/>
  <c r="G21" i="249"/>
  <c r="G20" i="249"/>
  <c r="G19" i="249"/>
  <c r="G16" i="249"/>
  <c r="U8" i="125" s="1"/>
  <c r="G15" i="249"/>
  <c r="T8" i="125" s="1"/>
  <c r="G14" i="249"/>
  <c r="R8" i="125" s="1"/>
  <c r="G13" i="249"/>
  <c r="H6" i="249"/>
  <c r="G18" i="248"/>
  <c r="Y8" i="125" l="1"/>
  <c r="G26" i="250"/>
  <c r="G28" i="250" s="1"/>
  <c r="G27" i="249"/>
  <c r="G29" i="249" s="1"/>
  <c r="Z31" i="125"/>
  <c r="E20" i="248" l="1"/>
  <c r="G20" i="248" s="1"/>
  <c r="E19" i="248"/>
  <c r="G19" i="248" s="1"/>
  <c r="G25" i="248"/>
  <c r="G24" i="248"/>
  <c r="G23" i="248"/>
  <c r="G22" i="248"/>
  <c r="G21" i="248"/>
  <c r="G17" i="248"/>
  <c r="U5" i="125" s="1"/>
  <c r="G16" i="248"/>
  <c r="G15" i="248"/>
  <c r="T5" i="125" s="1"/>
  <c r="G14" i="248"/>
  <c r="R5" i="125" s="1"/>
  <c r="G13" i="248"/>
  <c r="Q5" i="125" s="1"/>
  <c r="H6" i="248"/>
  <c r="Y5" i="125" l="1"/>
  <c r="Z5" i="125" s="1"/>
  <c r="Z9" i="125"/>
  <c r="Z10" i="125"/>
  <c r="G27" i="248"/>
  <c r="G29" i="248" s="1"/>
  <c r="Z15" i="125" l="1"/>
  <c r="Z14" i="125" l="1"/>
  <c r="Z13" i="125"/>
  <c r="Z30" i="125" l="1"/>
  <c r="Z29" i="125" l="1"/>
  <c r="Z8" i="125" l="1"/>
  <c r="Z17" i="125" l="1"/>
  <c r="Z16" i="125" l="1"/>
  <c r="Z18" i="125"/>
  <c r="Z12" i="125"/>
  <c r="Z19" i="125"/>
  <c r="Z20" i="125" l="1"/>
  <c r="Z33" i="125" l="1"/>
  <c r="Z28" i="125" l="1"/>
  <c r="Z32" i="125"/>
  <c r="Z34" i="125" l="1"/>
</calcChain>
</file>

<file path=xl/sharedStrings.xml><?xml version="1.0" encoding="utf-8"?>
<sst xmlns="http://schemas.openxmlformats.org/spreadsheetml/2006/main" count="1216" uniqueCount="237">
  <si>
    <t>CONTRACT</t>
  </si>
  <si>
    <t>ADDITIONAL</t>
  </si>
  <si>
    <t>S/No</t>
  </si>
  <si>
    <t>Shpt Ref</t>
  </si>
  <si>
    <t>Type</t>
  </si>
  <si>
    <t>Job #</t>
  </si>
  <si>
    <t>BL #</t>
  </si>
  <si>
    <t>POL</t>
  </si>
  <si>
    <t>POD</t>
  </si>
  <si>
    <t>Mode</t>
  </si>
  <si>
    <t>No. Of CNTR</t>
  </si>
  <si>
    <t>Volume</t>
  </si>
  <si>
    <t>Quantity</t>
  </si>
  <si>
    <t>BOE Issued Date</t>
  </si>
  <si>
    <t># Trips</t>
  </si>
  <si>
    <t>MASTER DO
CHARGE</t>
  </si>
  <si>
    <t>CUSTOMS
CLEARANCE
CHARGE</t>
  </si>
  <si>
    <t>HOUSE
DO
CHARGE (BL EXCHANGE) / DELIVERY ORDER</t>
  </si>
  <si>
    <t>PORT HANDLING CHARGE</t>
  </si>
  <si>
    <t>TRANSPORTATION
CHARGE</t>
  </si>
  <si>
    <t>ADDITIONAL AMOUNT
(Please refer to the detail sheet)</t>
  </si>
  <si>
    <t>AT COST AMOUNT</t>
  </si>
  <si>
    <t>GRAND TOTAL (USD)</t>
  </si>
  <si>
    <t>Remarks</t>
  </si>
  <si>
    <t>Bill to:</t>
  </si>
  <si>
    <t>Draft Invoice Date:</t>
  </si>
  <si>
    <t>SAMSUNG C&amp;T CORPORATION ABU DHABI</t>
  </si>
  <si>
    <t>Customer ID:</t>
  </si>
  <si>
    <t>6410059266</t>
  </si>
  <si>
    <t>P.O. Box 42654</t>
  </si>
  <si>
    <t>CW1 Job Number:</t>
  </si>
  <si>
    <t xml:space="preserve">Abu Dhabi, United Arab Emirates	</t>
  </si>
  <si>
    <t>Order Ref. Number:</t>
  </si>
  <si>
    <t>MBL Number:</t>
  </si>
  <si>
    <t>RATE SOURCE</t>
  </si>
  <si>
    <t>DESCRIPTION</t>
  </si>
  <si>
    <t>RATE</t>
  </si>
  <si>
    <t>Q'TY</t>
  </si>
  <si>
    <t>TOTAL (USD)</t>
  </si>
  <si>
    <t>REMARK</t>
  </si>
  <si>
    <t>TOTAL</t>
  </si>
  <si>
    <t>AED</t>
  </si>
  <si>
    <t>TOTAL AMOUNT (USD)</t>
  </si>
  <si>
    <t>AT COST</t>
  </si>
  <si>
    <t>Bill of Entry Number</t>
  </si>
  <si>
    <t>DELIVERY ORDER, TERMINAL HANDLING, DO &amp; LOCAL DHL FEE</t>
  </si>
  <si>
    <t>SHIPMENT</t>
  </si>
  <si>
    <t>KRPUS</t>
  </si>
  <si>
    <t>AEKHL</t>
  </si>
  <si>
    <t>FCL</t>
  </si>
  <si>
    <t>MASTER DO FEE</t>
  </si>
  <si>
    <t>CUSTOMS CLEARANCE FEE</t>
  </si>
  <si>
    <t>TERMINAL HANDLING FEE (1 X 20DC)</t>
  </si>
  <si>
    <t>Supporting documents provided</t>
  </si>
  <si>
    <t>TERMINAL HANDLING FEE (2 X 40HC)</t>
  </si>
  <si>
    <t>TRANSPORTATION CHARGES (1 X 20DC / 2 X 40HC) FROM KHALIFA PORT TO DSV MUSSAFAH YARD</t>
  </si>
  <si>
    <t>CARRIER CONTAINER RETURN SERVICE FEE</t>
  </si>
  <si>
    <t>BAMF0017659</t>
  </si>
  <si>
    <t>CHN2595234</t>
  </si>
  <si>
    <t>HVDC-ADOPT-SCT-0126</t>
  </si>
  <si>
    <t>30815/2025</t>
  </si>
  <si>
    <t>TRANSPORTATION CHARGES (1 X 20DC / 2 X 40HC) FROM DSV MUSSAFAH YARD TO KHALIFA PORT (EMPTY RETURN)</t>
  </si>
  <si>
    <t>DRAFT INVOICE FOR HVDC (LIGHTING PROJECT) - SEPTEMBER 2025</t>
  </si>
  <si>
    <t>HVDC-ADOPT-SCT-0122</t>
  </si>
  <si>
    <t>BAMF0017824</t>
  </si>
  <si>
    <t>MEDUMD743842</t>
  </si>
  <si>
    <t>32265/2025</t>
  </si>
  <si>
    <t>TRANSPORTATION CHARGES (1 X 20DC) FROM KHALIFA PORT TO DSV MUSSAFAH YARD</t>
  </si>
  <si>
    <t>CARRIER CONTAINER INSPECTION FEE (1 X 20DC)</t>
  </si>
  <si>
    <t>HVDC-ADOPT-SCT-0131</t>
  </si>
  <si>
    <t>BAMF0017825</t>
  </si>
  <si>
    <t>KRICN</t>
  </si>
  <si>
    <t>176-13032924</t>
  </si>
  <si>
    <t>AEAUH</t>
  </si>
  <si>
    <t>AIR</t>
  </si>
  <si>
    <t>48474/2025</t>
  </si>
  <si>
    <t>TERMINAL HANDLING CHARGES (CW: 2136 KG)</t>
  </si>
  <si>
    <t>TRANSPORTATION CHARGES (1 FB) FROM AUH AIRPORT TO MOSB</t>
  </si>
  <si>
    <t>APPOINTMENT FEE</t>
  </si>
  <si>
    <t>DPC FEE</t>
  </si>
  <si>
    <t>HVDC-ADOPT-HE-0471</t>
  </si>
  <si>
    <t>BAMF0017761</t>
  </si>
  <si>
    <t>RTM1530265</t>
  </si>
  <si>
    <t>HVDC-ADOPT-HE-0472</t>
  </si>
  <si>
    <t>BAMF0017768</t>
  </si>
  <si>
    <t>RTM1534281</t>
  </si>
  <si>
    <t>HVDC-ADOPT-HE-0473</t>
  </si>
  <si>
    <t>RTM1534707</t>
  </si>
  <si>
    <t>BAMF0017769</t>
  </si>
  <si>
    <t>HVDC-ADOPT-HE-0450, 0459, 0460</t>
  </si>
  <si>
    <t>MEDUUX613372</t>
  </si>
  <si>
    <t>BAMF0017867</t>
  </si>
  <si>
    <t>HVDC-ADOPT-HE-0487</t>
  </si>
  <si>
    <t>607-50516421</t>
  </si>
  <si>
    <t>BAMF0017784</t>
  </si>
  <si>
    <t>HVDC-ADOPT-HE-0464,0465,0470</t>
  </si>
  <si>
    <t>MEDUOS792143</t>
  </si>
  <si>
    <t>BAMF0017886</t>
  </si>
  <si>
    <t>HVDC-ADOPT-SCT-0123, 0124</t>
  </si>
  <si>
    <t>SELA26992900</t>
  </si>
  <si>
    <t>BAMF0017918</t>
  </si>
  <si>
    <t>TERMINAL HANDLING FEE (1 X 40HC)</t>
  </si>
  <si>
    <t>TRANSPORTATION CHARGES (1 X 40HC) FROM KP TO DSV MUSSAFAH YARD</t>
  </si>
  <si>
    <t>CARRIER CONTAINER REPOSITIONING FEE (1 X 40HC)</t>
  </si>
  <si>
    <t>CARRIER COTNAINER INSPECTION FEE (1 X 40HC)</t>
  </si>
  <si>
    <t>CARRIER COTNAINER ADMIN FEE (1 X 40HC)</t>
  </si>
  <si>
    <t>PORT CONTAINER ADMIN/INSPECTION FEE (1 X 40HC)</t>
  </si>
  <si>
    <t>PORT CONTAINER WASHING FEE (1 X 40HC)</t>
  </si>
  <si>
    <t>HVDC-ADOPT-HE-0437,0438-2,0439-2,0440-2,0441-1</t>
  </si>
  <si>
    <t>BAMF0017895</t>
  </si>
  <si>
    <t>MEDUUX614404</t>
  </si>
  <si>
    <t>BAMF0017956</t>
  </si>
  <si>
    <t>HVDC-ADOPT-HE-0500</t>
  </si>
  <si>
    <t>607-50517600</t>
  </si>
  <si>
    <t>HVDC-ADOPT-HE-0466,0467,0468</t>
  </si>
  <si>
    <t>MEDUUX624155</t>
  </si>
  <si>
    <t>BAMF0017960</t>
  </si>
  <si>
    <t>HVDC-ADOPT-SCT-0038</t>
  </si>
  <si>
    <t>SELA34449500</t>
  </si>
  <si>
    <t>PORT CONTAINER REPAIR FEES (KOCU4717043)</t>
  </si>
  <si>
    <t>TRANSPORTATION CHARGES (3 TON PU) FROM AUH AIRPORT TO MOSB</t>
  </si>
  <si>
    <t>TRANSPORTATION CHARGES (1 FB) FROM AUH AIRPORT TO MIRFA + SHUWEIHAT</t>
  </si>
  <si>
    <t>DOCUMENTATION PROCESSING FEE</t>
  </si>
  <si>
    <t>TRUCK APPOINTMENT FEE</t>
  </si>
  <si>
    <t>HVDC-ADOPT-SCT-0134</t>
  </si>
  <si>
    <t>176-19855570</t>
  </si>
  <si>
    <t>BAMF0018127</t>
  </si>
  <si>
    <t>BAMF0016623</t>
  </si>
  <si>
    <t>PORT CONTAINER ADMIN/INSPECTION FEE (1 X 20DC / 2 X 40HC)</t>
  </si>
  <si>
    <t>SELA65901100</t>
  </si>
  <si>
    <t>5324/2025</t>
  </si>
  <si>
    <t>CARRIER CONTAINER PROTECTION FEE (1 X 20DC)</t>
  </si>
  <si>
    <t>PORT CONTAINER INSPECTION &amp; WASHING FEE (1 X 20DC)</t>
  </si>
  <si>
    <t>33676/2025</t>
  </si>
  <si>
    <t>52506/2025</t>
  </si>
  <si>
    <t>HVDC-ADOPT-SCT-0127</t>
  </si>
  <si>
    <t>EGLV142502495441</t>
  </si>
  <si>
    <t>BAMF0017850</t>
  </si>
  <si>
    <t>CNSGH</t>
  </si>
  <si>
    <t>32824/2025</t>
  </si>
  <si>
    <t>ISPS IMPORT FEE (1 X 20DC)</t>
  </si>
  <si>
    <t>CARRIER CONTAINER MAINTENANCE FEE (1 X 20DC)</t>
  </si>
  <si>
    <t>PORT CONTAINER INSPECTION FEE (1 X 20DC)</t>
  </si>
  <si>
    <t>CLEARANCE</t>
  </si>
  <si>
    <t>Shipment Cleared and Delivered</t>
  </si>
  <si>
    <t>ANRB45303</t>
  </si>
  <si>
    <t>BEANR</t>
  </si>
  <si>
    <t>31514/2025</t>
  </si>
  <si>
    <t>Shipment Cleared</t>
  </si>
  <si>
    <t>31530/2025</t>
  </si>
  <si>
    <t>31521/2025</t>
  </si>
  <si>
    <t>Only 1 Container repair charge</t>
  </si>
  <si>
    <t>32351/2025</t>
  </si>
  <si>
    <t>HVDC-ADOPT-HE-0466, 0467, 0468</t>
  </si>
  <si>
    <t>33387/2025</t>
  </si>
  <si>
    <t>32789/2025</t>
  </si>
  <si>
    <t>HVDC-ADOPT-HE-0464, 0465, 0470</t>
  </si>
  <si>
    <t>32796/2025</t>
  </si>
  <si>
    <t>NLAMS</t>
  </si>
  <si>
    <t>47395/2025</t>
  </si>
  <si>
    <t>MEDUUX604827</t>
  </si>
  <si>
    <t>HVDC-ADOPT-HE-0438, 0439, 0440-1, 0441, 0482, 0454</t>
  </si>
  <si>
    <t>BAMF0017782</t>
  </si>
  <si>
    <t>SEGOT</t>
  </si>
  <si>
    <t>30650/2025</t>
  </si>
  <si>
    <t>HVDC-ADOPT-HE-0425, 0426, 0427, 0428</t>
  </si>
  <si>
    <t>MEDUUX603290</t>
  </si>
  <si>
    <t>BAMF0018017</t>
  </si>
  <si>
    <t>ITGOA</t>
  </si>
  <si>
    <t>33929/2025</t>
  </si>
  <si>
    <t>HVDC-ADOPT-HE-0475</t>
  </si>
  <si>
    <t>BAMF0018063</t>
  </si>
  <si>
    <t>RTM1534689</t>
  </si>
  <si>
    <t>34344/2025</t>
  </si>
  <si>
    <t>HVDC-ADOPT-HE-0497</t>
  </si>
  <si>
    <t>BAMF0017944</t>
  </si>
  <si>
    <t>607-50516443</t>
  </si>
  <si>
    <t>49510/2025 &amp; 49512/2025</t>
  </si>
  <si>
    <t>DKCPH</t>
  </si>
  <si>
    <t>49975/2025</t>
  </si>
  <si>
    <t>HVDC-ADOPT-HE-0488</t>
  </si>
  <si>
    <t>BAMF0017779</t>
  </si>
  <si>
    <t>607-50516406</t>
  </si>
  <si>
    <t>47325/2025</t>
  </si>
  <si>
    <t>HVDC-ADOPT-HE-0495, 0496</t>
  </si>
  <si>
    <t>BAMF0017809</t>
  </si>
  <si>
    <t>607-50516432</t>
  </si>
  <si>
    <t>47626/2025, 47628/2025</t>
  </si>
  <si>
    <t>HVDC-ADOPT-HE-0498</t>
  </si>
  <si>
    <t>607-37272745</t>
  </si>
  <si>
    <t>BAMF0018061</t>
  </si>
  <si>
    <t>ATLNZ</t>
  </si>
  <si>
    <t>51596/2025</t>
  </si>
  <si>
    <t>HVDC-ADOPT-HE-0501</t>
  </si>
  <si>
    <t>BAMF0018095</t>
  </si>
  <si>
    <t>607-50201874</t>
  </si>
  <si>
    <t>52048/2025</t>
  </si>
  <si>
    <t>HVDC-ADOPT-HE-0502</t>
  </si>
  <si>
    <t>BAMF0018089</t>
  </si>
  <si>
    <t>607-36126425</t>
  </si>
  <si>
    <t>DEFRA</t>
  </si>
  <si>
    <t>52050/2025</t>
  </si>
  <si>
    <t>HVDC-ADOPT-HE-0499 (LOT1)</t>
  </si>
  <si>
    <t>BAMF0017813</t>
  </si>
  <si>
    <t>DUTY</t>
  </si>
  <si>
    <t>CI-01256-25</t>
  </si>
  <si>
    <t>HVDC-ADOPT-HE-0499(LOT1)</t>
  </si>
  <si>
    <t>BILL OF ENTRY</t>
  </si>
  <si>
    <t>REGISTERATION FEE &amp; KNOWLEDGE DIRHAM</t>
  </si>
  <si>
    <t>DOCS PROCESSING</t>
  </si>
  <si>
    <t>GATE PASS CHARGES</t>
  </si>
  <si>
    <t>CODE IN JEBAL ALI SUBSCRIPTION</t>
  </si>
  <si>
    <t>CUSTOMS INSPECTION</t>
  </si>
  <si>
    <t>PRO CUSTOMS</t>
  </si>
  <si>
    <t>OUTLAY FEE ON CUSTOMS DUTY CHARGES</t>
  </si>
  <si>
    <t>Pass-through Customs Documentation Fee</t>
  </si>
  <si>
    <t>Others</t>
  </si>
  <si>
    <t>DUTY RELATED CHARGES</t>
  </si>
  <si>
    <t>Done</t>
  </si>
  <si>
    <t>102-08509705-25</t>
  </si>
  <si>
    <t>-</t>
  </si>
  <si>
    <t>HVDC-ADOPT-HE-0499 (LOT2)</t>
  </si>
  <si>
    <t>BAMF0017919</t>
  </si>
  <si>
    <t>CUSTOMS DUTY</t>
  </si>
  <si>
    <t>HVDC-ADOPT-HE-0499(LOT2)</t>
  </si>
  <si>
    <t>CUSTOMS INSPECITON</t>
  </si>
  <si>
    <t>DUTY OUTLAY FEE @ 5%</t>
  </si>
  <si>
    <t>CI-01260-25</t>
  </si>
  <si>
    <t>102-08538719-25</t>
  </si>
  <si>
    <t>HVDC-ADOPT-HE-0499(LOT3)</t>
  </si>
  <si>
    <t>BAMF0018111</t>
  </si>
  <si>
    <t>HVDC-ADOPT-HE-0499 (LOT3)</t>
  </si>
  <si>
    <t>DOCUMENT PROCESSING FEE</t>
  </si>
  <si>
    <t>CUSTOMS INSPECTION (PRO Requirement)</t>
  </si>
  <si>
    <t>CUSTOMS DUTY OUTLAY FEE</t>
  </si>
  <si>
    <t>EXPORT CUSTOMS CLEARANCE FEE</t>
  </si>
  <si>
    <t>102-08566354-25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</si>
</sst>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3" formatCode="_(* #,##0.00_);_(* \(#,##0.00\);_(* &quot;-&quot;??_);_(@_)"/>
    <numFmt numFmtId="164" formatCode="[$-409]d\-mmm\-yyyy;@"/>
    <numFmt numFmtId="165" formatCode="_-[$$-409]* #,##0.00_ ;_-[$$-409]* \-#,##0.00\ ;_-[$$-409]* &quot;-&quot;??_ ;_-@_ "/>
    <numFmt numFmtId="166" formatCode="_-* #,##0_-;\-* #,##0_-;_-* &quot;-&quot;_-;_-@_-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3"/>
      <charset val="129"/>
      <scheme val="minor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u/>
      <sz val="11"/>
      <color theme="10"/>
      <name val="Aptos"/>
      <family val="2"/>
    </font>
    <font>
      <b/>
      <sz val="11"/>
      <color theme="0"/>
      <name val="Aptos"/>
      <family val="2"/>
    </font>
    <font>
      <sz val="11"/>
      <color rgb="FFFF0000"/>
      <name val="Aptos"/>
      <family val="2"/>
    </font>
    <font>
      <sz val="11"/>
      <name val="Aptos"/>
      <family val="2"/>
    </font>
    <font>
      <b/>
      <i/>
      <sz val="11"/>
      <color theme="1"/>
      <name val="Aptos"/>
      <family val="2"/>
    </font>
    <font>
      <sz val="9"/>
      <color theme="1"/>
      <name val="Aptos"/>
      <family val="2"/>
    </font>
    <font>
      <i/>
      <sz val="11"/>
      <color theme="1"/>
      <name val="Aptos"/>
      <family val="2"/>
    </font>
    <font>
      <b/>
      <sz val="24"/>
      <color theme="1"/>
      <name val="Aptos"/>
      <family val="2"/>
    </font>
    <font>
      <b/>
      <sz val="12"/>
      <color theme="1"/>
      <name val="Aptos"/>
      <family val="2"/>
    </font>
    <font>
      <sz val="10"/>
      <name val="Aptos"/>
      <family val="2"/>
    </font>
    <font>
      <sz val="10"/>
      <color theme="3" tint="-0.499984740745262"/>
      <name val="Aptos"/>
      <family val="2"/>
    </font>
    <font>
      <b/>
      <sz val="12"/>
      <color theme="0"/>
      <name val="Aptos"/>
      <family val="2"/>
    </font>
    <font>
      <b/>
      <sz val="10"/>
      <name val="Aptos"/>
      <family val="2"/>
    </font>
    <font>
      <b/>
      <sz val="9"/>
      <color theme="1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u/>
      <sz val="10"/>
      <color theme="10"/>
      <name val="Aptos"/>
      <family val="2"/>
    </font>
    <font>
      <b/>
      <sz val="10"/>
      <color theme="0"/>
      <name val="Aptos"/>
      <family val="2"/>
    </font>
    <font>
      <sz val="10"/>
      <color rgb="FFFF0000"/>
      <name val="Aptos"/>
      <family val="2"/>
    </font>
    <font>
      <b/>
      <sz val="11"/>
      <name val="Aptos"/>
      <family val="2"/>
    </font>
    <font>
      <b/>
      <sz val="11"/>
      <color rgb="FFFF0000"/>
      <name val="Apto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166" fontId="1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10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vertical="center"/>
    </xf>
    <xf numFmtId="164" fontId="11" fillId="2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4" borderId="2" xfId="0" applyFont="1" applyFill="1" applyBorder="1" applyAlignment="1">
      <alignment horizontal="center" vertical="center" textRotation="180" wrapText="1"/>
    </xf>
    <xf numFmtId="0" fontId="7" fillId="4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 textRotation="180"/>
    </xf>
    <xf numFmtId="164" fontId="7" fillId="4" borderId="2" xfId="0" applyNumberFormat="1" applyFont="1" applyFill="1" applyBorder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6" fillId="0" borderId="2" xfId="2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8" fontId="15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wrapText="1"/>
    </xf>
    <xf numFmtId="43" fontId="16" fillId="0" borderId="2" xfId="1" applyFont="1" applyFill="1" applyBorder="1" applyAlignment="1">
      <alignment horizontal="center" vertical="center" wrapText="1"/>
    </xf>
    <xf numFmtId="164" fontId="16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43" fontId="15" fillId="0" borderId="2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 wrapText="1"/>
    </xf>
    <xf numFmtId="0" fontId="6" fillId="0" borderId="2" xfId="2" quotePrefix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43" fontId="18" fillId="0" borderId="2" xfId="0" applyNumberFormat="1" applyFont="1" applyBorder="1" applyAlignment="1">
      <alignment horizontal="center" vertical="center"/>
    </xf>
    <xf numFmtId="43" fontId="18" fillId="9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3" fontId="4" fillId="0" borderId="0" xfId="0" applyNumberFormat="1" applyFont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8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21" fillId="6" borderId="2" xfId="0" applyFont="1" applyFill="1" applyBorder="1"/>
    <xf numFmtId="164" fontId="20" fillId="0" borderId="2" xfId="0" applyNumberFormat="1" applyFont="1" applyBorder="1" applyAlignment="1">
      <alignment horizontal="left" vertical="center" indent="1"/>
    </xf>
    <xf numFmtId="0" fontId="20" fillId="0" borderId="2" xfId="0" quotePrefix="1" applyFont="1" applyBorder="1" applyAlignment="1">
      <alignment horizontal="left" indent="1"/>
    </xf>
    <xf numFmtId="0" fontId="22" fillId="0" borderId="2" xfId="2" quotePrefix="1" applyFont="1" applyBorder="1" applyAlignment="1">
      <alignment horizontal="left" indent="1"/>
    </xf>
    <xf numFmtId="0" fontId="20" fillId="0" borderId="2" xfId="0" applyFont="1" applyBorder="1" applyAlignment="1">
      <alignment horizontal="left" indent="1"/>
    </xf>
    <xf numFmtId="0" fontId="23" fillId="5" borderId="2" xfId="0" applyFont="1" applyFill="1" applyBorder="1" applyAlignment="1">
      <alignment horizontal="center" vertical="center" wrapText="1"/>
    </xf>
    <xf numFmtId="0" fontId="23" fillId="5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left" vertical="center"/>
    </xf>
    <xf numFmtId="165" fontId="20" fillId="0" borderId="2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43" fontId="21" fillId="0" borderId="2" xfId="1" applyFont="1" applyBorder="1" applyAlignment="1">
      <alignment horizontal="center" vertical="center"/>
    </xf>
    <xf numFmtId="43" fontId="20" fillId="0" borderId="0" xfId="0" applyNumberFormat="1" applyFont="1"/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wrapText="1"/>
    </xf>
    <xf numFmtId="165" fontId="24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0" fontId="24" fillId="0" borderId="0" xfId="0" applyFont="1"/>
    <xf numFmtId="43" fontId="21" fillId="7" borderId="2" xfId="0" applyNumberFormat="1" applyFont="1" applyFill="1" applyBorder="1"/>
    <xf numFmtId="0" fontId="6" fillId="0" borderId="2" xfId="2" applyFont="1" applyFill="1" applyBorder="1" applyAlignment="1">
      <alignment horizontal="center" vertical="center" wrapText="1"/>
    </xf>
    <xf numFmtId="4" fontId="20" fillId="0" borderId="0" xfId="0" applyNumberFormat="1" applyFont="1"/>
    <xf numFmtId="0" fontId="8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43" fontId="15" fillId="0" borderId="2" xfId="1" applyFont="1" applyFill="1" applyBorder="1" applyAlignment="1">
      <alignment horizontal="center" vertical="center" wrapText="1"/>
    </xf>
    <xf numFmtId="164" fontId="15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5" fillId="0" borderId="0" xfId="0" applyFont="1"/>
    <xf numFmtId="165" fontId="15" fillId="0" borderId="2" xfId="0" applyNumberFormat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43" fontId="18" fillId="0" borderId="2" xfId="1" applyFont="1" applyBorder="1" applyAlignment="1">
      <alignment horizontal="center" vertical="center"/>
    </xf>
    <xf numFmtId="0" fontId="2" fillId="0" borderId="2" xfId="2" quotePrefix="1" applyBorder="1" applyAlignment="1">
      <alignment horizontal="left" indent="1"/>
    </xf>
    <xf numFmtId="0" fontId="14" fillId="3" borderId="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8" fontId="17" fillId="4" borderId="8" xfId="0" applyNumberFormat="1" applyFont="1" applyFill="1" applyBorder="1" applyAlignment="1">
      <alignment horizontal="center" vertical="center"/>
    </xf>
    <xf numFmtId="8" fontId="17" fillId="4" borderId="9" xfId="0" applyNumberFormat="1" applyFont="1" applyFill="1" applyBorder="1" applyAlignment="1">
      <alignment horizontal="center" vertical="center"/>
    </xf>
    <xf numFmtId="8" fontId="17" fillId="4" borderId="10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7" borderId="2" xfId="0" applyFont="1" applyFill="1" applyBorder="1" applyAlignment="1">
      <alignment horizontal="center"/>
    </xf>
  </cellXfs>
  <cellStyles count="4">
    <cellStyle name="Comma" xfId="1" builtinId="3"/>
    <cellStyle name="Comma [0] 2" xfId="3" xr:uid="{0168F697-6D7E-4F9B-95A0-7964362D2E06}"/>
    <cellStyle name="Hyperlink" xfId="2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352423</xdr:colOff>
      <xdr:row>0</xdr:row>
      <xdr:rowOff>137608</xdr:rowOff>
    </xdr:from>
    <xdr:to>
      <xdr:col>27</xdr:col>
      <xdr:colOff>278690</xdr:colOff>
      <xdr:row>1</xdr:row>
      <xdr:rowOff>497869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E0EA547-3369-467B-B579-2E0DA70DB3E6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80011" y="137608"/>
          <a:ext cx="1932120" cy="550761"/>
        </a:xfrm>
        <a:prstGeom prst="rect">
          <a:avLst/>
        </a:prstGeom>
      </xdr:spPr>
    </xdr:pic>
    <xdr:clientData/>
  </xdr:twoCellAnchor>
  <xdr:twoCellAnchor editAs="oneCell">
    <xdr:from>
      <xdr:col>2</xdr:col>
      <xdr:colOff>229047</xdr:colOff>
      <xdr:row>1</xdr:row>
      <xdr:rowOff>47398</xdr:rowOff>
    </xdr:from>
    <xdr:to>
      <xdr:col>5</xdr:col>
      <xdr:colOff>414617</xdr:colOff>
      <xdr:row>2</xdr:row>
      <xdr:rowOff>28574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A7ADC7B-8354-441A-8DA4-A3EE11B6B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547" y="237898"/>
          <a:ext cx="3849894" cy="552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CB13E-1CA4-40ED-9AD1-AA26738EB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0153330-A595-4E54-9660-C0DE3AEC0214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585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7C506D-542E-470F-B1F4-AE253534E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15168CAE-5F4D-4189-904D-50E971FA1F2F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C31CF2-6D92-4594-80A8-12728584E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3377C12-DFBA-4744-9EDE-189CEBFE2F1A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9BDA01-570C-4869-8808-B45921CFA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D510C33-4FE9-4BDC-B61B-1AE5ECF0946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4C5763-B9BD-4BAB-B407-D911E9F00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64C0A084-F818-49CA-814E-D1FE95519A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1344498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7B500A-AA30-45B4-B796-27B6A8504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DC33D66D-42C9-433D-A1CD-F7EF9E24FC2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E7E699-8C60-425D-BC51-6C4C54F80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3F841E7F-92CE-4F97-B9C1-1FDF4E164C7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1EF07F-592F-4D72-B43E-1D68331CD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CFEC2EC-32E7-4285-8C90-B81D00507016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9BA8D8-D6E6-47D1-9C95-0CE0E4D8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DA27E947-591A-461D-8F11-A3903FA5A9F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0058B1-F7CB-4B92-9E33-E38E01C99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3F845F0B-DE8B-48B1-9CD1-9978762072D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382903-87AA-49A4-A29C-89ED3D2B9F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B3DEB27-2BA7-46F6-AF47-FA41EAEDF68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9385F9-9B5E-4F18-AAF8-6EB6554B2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CA36E2C-4B6E-4A16-8987-31D923CC179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705052-E7F4-4659-BC54-C05610E6C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46D94F6-BF2C-499F-8266-9CCFF9768EC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1A8DD3-076A-4836-8142-B70DA71C5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F448919D-1836-442F-9A3A-D8B16B94AC9F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F739DE-2166-4E2E-8060-832980A0E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B2F9AEC-FAB6-41F5-90A6-CD739D63342E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47E4A3-688A-4CBC-9F44-59522E85C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1771642</xdr:colOff>
      <xdr:row>0</xdr:row>
      <xdr:rowOff>161925</xdr:rowOff>
    </xdr:from>
    <xdr:to>
      <xdr:col>7</xdr:col>
      <xdr:colOff>3208469</xdr:colOff>
      <xdr:row>3</xdr:row>
      <xdr:rowOff>57150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D78B7B9-773D-416B-A999-64A72C56256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3542" y="161925"/>
          <a:ext cx="1436827" cy="40957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4176A1-F280-4902-877A-2F68FFC1C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1771642</xdr:colOff>
      <xdr:row>0</xdr:row>
      <xdr:rowOff>161925</xdr:rowOff>
    </xdr:from>
    <xdr:to>
      <xdr:col>7</xdr:col>
      <xdr:colOff>3208469</xdr:colOff>
      <xdr:row>3</xdr:row>
      <xdr:rowOff>57150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51518289-0626-4D48-8B1A-81905065272B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3542" y="161925"/>
          <a:ext cx="1436827" cy="40957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07B6C-BC7A-476C-9CFA-A74696036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285742</xdr:colOff>
      <xdr:row>1</xdr:row>
      <xdr:rowOff>19050</xdr:rowOff>
    </xdr:from>
    <xdr:to>
      <xdr:col>7</xdr:col>
      <xdr:colOff>1722569</xdr:colOff>
      <xdr:row>3</xdr:row>
      <xdr:rowOff>85725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D873D9B-DC55-4891-B702-53111DC09D0D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77642" y="190500"/>
          <a:ext cx="1436827" cy="40957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E2B72B-FAE2-4379-B8D1-3F2EDF457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6E492B23-DFF6-4DFF-8458-AFEEBCA6DFD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E7BEE-CE25-44FF-856C-1433F4EDA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7D0C750-B6F7-4833-AB8D-DF34D88F59E1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C66A2E-FA25-4CA8-98B8-D6BB2E0F1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F5CAE37-F869-469C-A18A-71A50B0E391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92BE98-AD25-4B00-B855-5CD5455E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A1F16D0D-A14A-438E-BC17-D685FCBADBF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FC216F-62BC-41D1-B312-BB54F4D36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C6DDEB0C-75DE-4778-9EE0-C63BFD47B66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2B19CA4-AA94-4BD8-A219-65D03637A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0ED479D-637E-49AC-8A9E-00769BC9B51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99EF26-521B-434C-92D9-120D0A566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E053E39-E4F6-4994-83D9-BD1A519A31D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65BED0-F655-48A4-AC51-F93B5C83D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90A5B97-4CFA-4F8C-AAD9-0890290B5966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2085F0-3289-4848-A949-1C908359AC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C381B4B-A4B1-4A76-A762-6CF4FE63EC97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1153998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ED0EE-3A59-4062-90F9-C92C6CA46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7</xdr:col>
      <xdr:colOff>2313119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9CBD799F-F6D0-4B91-9008-2FD5BC3D161C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6F0DB-DD76-4957-B00F-615AEBF20F2D}">
  <sheetPr codeName="Sheet1">
    <tabColor rgb="FFFFFF00"/>
    <pageSetUpPr fitToPage="1"/>
  </sheetPr>
  <dimension ref="A1:AB63"/>
  <sheetViews>
    <sheetView tabSelected="1" zoomScale="85" zoomScaleNormal="85" workbookViewId="0">
      <pane xSplit="6" ySplit="4" topLeftCell="G5" activePane="bottomRight" state="frozen"/>
      <selection pane="topRight" activeCell="F1" sqref="F1"/>
      <selection pane="bottomLeft" activeCell="A7" sqref="A7"/>
      <selection pane="bottomRight" activeCell="W17" sqref="W17"/>
    </sheetView>
  </sheetViews>
  <sheetFormatPr defaultColWidth="8.85546875" defaultRowHeight="15"/>
  <cols>
    <col min="1" max="1" width="2.85546875" style="5" hidden="1" customWidth="1"/>
    <col min="2" max="2" width="2.85546875" style="5" customWidth="1"/>
    <col min="3" max="3" width="4.85546875" style="6" bestFit="1" customWidth="1"/>
    <col min="4" max="4" width="36.7109375" style="23" customWidth="1"/>
    <col min="5" max="5" width="13.42578125" style="24" bestFit="1" customWidth="1"/>
    <col min="6" max="6" width="14.28515625" style="24" bestFit="1" customWidth="1"/>
    <col min="7" max="7" width="19.42578125" style="24" customWidth="1"/>
    <col min="8" max="9" width="9.7109375" style="24" bestFit="1" customWidth="1"/>
    <col min="10" max="10" width="8" style="24" customWidth="1"/>
    <col min="11" max="11" width="6.28515625" style="24" customWidth="1"/>
    <col min="12" max="12" width="10" style="24" bestFit="1" customWidth="1"/>
    <col min="13" max="13" width="8" style="24" customWidth="1"/>
    <col min="14" max="14" width="16.7109375" style="24" bestFit="1" customWidth="1"/>
    <col min="15" max="15" width="13.28515625" style="25" customWidth="1"/>
    <col min="16" max="16" width="4.28515625" style="24" customWidth="1"/>
    <col min="17" max="17" width="12.7109375" style="24" bestFit="1" customWidth="1"/>
    <col min="18" max="18" width="11.5703125" style="24" customWidth="1"/>
    <col min="19" max="19" width="13.42578125" style="24" customWidth="1"/>
    <col min="20" max="20" width="12.140625" style="24" bestFit="1" customWidth="1"/>
    <col min="21" max="21" width="9" style="24" customWidth="1"/>
    <col min="22" max="22" width="10.85546875" style="24" customWidth="1"/>
    <col min="23" max="24" width="13.42578125" style="24" customWidth="1"/>
    <col min="25" max="25" width="14.140625" style="24" customWidth="1"/>
    <col min="26" max="26" width="12.42578125" style="36" customWidth="1"/>
    <col min="27" max="27" width="30" style="23" customWidth="1"/>
    <col min="28" max="28" width="11.28515625" style="5" bestFit="1" customWidth="1"/>
    <col min="29" max="16384" width="8.85546875" style="5"/>
  </cols>
  <sheetData>
    <row r="1" spans="3:28">
      <c r="C1" s="1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4"/>
      <c r="P1" s="3"/>
      <c r="Q1" s="3"/>
      <c r="R1" s="3"/>
      <c r="S1" s="3"/>
      <c r="T1" s="3"/>
      <c r="U1" s="3"/>
      <c r="V1" s="3"/>
      <c r="W1" s="3"/>
      <c r="X1" s="3"/>
      <c r="Y1" s="3"/>
      <c r="Z1" s="34"/>
      <c r="AA1" s="2"/>
    </row>
    <row r="2" spans="3:28" ht="45" customHeight="1">
      <c r="C2" s="82" t="s">
        <v>62</v>
      </c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</row>
    <row r="3" spans="3:28" ht="16.5" thickBot="1">
      <c r="D3" s="2"/>
      <c r="E3" s="3"/>
      <c r="F3" s="3"/>
      <c r="G3" s="3"/>
      <c r="H3" s="3"/>
      <c r="I3" s="3"/>
      <c r="J3" s="3"/>
      <c r="K3" s="3"/>
      <c r="L3" s="3"/>
      <c r="M3" s="3"/>
      <c r="N3" s="3"/>
      <c r="O3" s="4"/>
      <c r="P3" s="73" t="s">
        <v>0</v>
      </c>
      <c r="Q3" s="74"/>
      <c r="R3" s="74"/>
      <c r="S3" s="74"/>
      <c r="T3" s="74"/>
      <c r="U3" s="75"/>
      <c r="V3" s="76" t="s">
        <v>1</v>
      </c>
      <c r="W3" s="77"/>
      <c r="X3" s="77"/>
      <c r="Y3" s="77"/>
      <c r="Z3" s="78"/>
      <c r="AA3" s="2"/>
    </row>
    <row r="4" spans="3:28" ht="106.5" customHeight="1" thickTop="1" thickBot="1">
      <c r="C4" s="7" t="s">
        <v>2</v>
      </c>
      <c r="D4" s="9" t="s">
        <v>3</v>
      </c>
      <c r="E4" s="9" t="s">
        <v>5</v>
      </c>
      <c r="F4" s="9" t="s">
        <v>4</v>
      </c>
      <c r="G4" s="9" t="s">
        <v>6</v>
      </c>
      <c r="H4" s="10" t="s">
        <v>7</v>
      </c>
      <c r="I4" s="10" t="s">
        <v>8</v>
      </c>
      <c r="J4" s="9" t="s">
        <v>9</v>
      </c>
      <c r="K4" s="7" t="s">
        <v>10</v>
      </c>
      <c r="L4" s="10" t="s">
        <v>11</v>
      </c>
      <c r="M4" s="10" t="s">
        <v>12</v>
      </c>
      <c r="N4" s="8" t="s">
        <v>44</v>
      </c>
      <c r="O4" s="11" t="s">
        <v>13</v>
      </c>
      <c r="P4" s="10" t="s">
        <v>14</v>
      </c>
      <c r="Q4" s="7" t="s">
        <v>15</v>
      </c>
      <c r="R4" s="7" t="s">
        <v>16</v>
      </c>
      <c r="S4" s="8" t="s">
        <v>17</v>
      </c>
      <c r="T4" s="7" t="s">
        <v>18</v>
      </c>
      <c r="U4" s="7" t="s">
        <v>19</v>
      </c>
      <c r="V4" s="7" t="s">
        <v>19</v>
      </c>
      <c r="W4" s="8" t="s">
        <v>20</v>
      </c>
      <c r="X4" s="8" t="s">
        <v>217</v>
      </c>
      <c r="Y4" s="8" t="s">
        <v>21</v>
      </c>
      <c r="Z4" s="8" t="s">
        <v>22</v>
      </c>
      <c r="AA4" s="12" t="s">
        <v>23</v>
      </c>
    </row>
    <row r="5" spans="3:28" s="32" customFormat="1" ht="16.5" thickTop="1" thickBot="1">
      <c r="C5" s="28">
        <v>1</v>
      </c>
      <c r="D5" s="13" t="s">
        <v>59</v>
      </c>
      <c r="E5" s="14" t="s">
        <v>57</v>
      </c>
      <c r="F5" s="15" t="s">
        <v>46</v>
      </c>
      <c r="G5" s="26" t="s">
        <v>58</v>
      </c>
      <c r="H5" s="16" t="s">
        <v>47</v>
      </c>
      <c r="I5" s="15" t="s">
        <v>48</v>
      </c>
      <c r="J5" s="16" t="s">
        <v>49</v>
      </c>
      <c r="K5" s="16">
        <v>3</v>
      </c>
      <c r="L5" s="17">
        <v>155</v>
      </c>
      <c r="M5" s="16">
        <v>749</v>
      </c>
      <c r="N5" s="27" t="s">
        <v>60</v>
      </c>
      <c r="O5" s="18">
        <v>45897</v>
      </c>
      <c r="P5" s="19">
        <v>3</v>
      </c>
      <c r="Q5" s="20">
        <f>'SCT0126'!G13</f>
        <v>150</v>
      </c>
      <c r="R5" s="20">
        <f>'SCT0126'!G14</f>
        <v>150</v>
      </c>
      <c r="S5" s="15"/>
      <c r="T5" s="20">
        <f>SUM('SCT0126'!G15:G16)</f>
        <v>1330</v>
      </c>
      <c r="U5" s="20">
        <f>'SCT0126'!G17+'SCT0126'!G18</f>
        <v>1512</v>
      </c>
      <c r="V5" s="15"/>
      <c r="W5" s="15"/>
      <c r="X5" s="15"/>
      <c r="Y5" s="20">
        <f>SUM('SCT0126'!G19:G26)</f>
        <v>166.09938733832541</v>
      </c>
      <c r="Z5" s="31">
        <f t="shared" ref="Z5:Z7" si="0">SUM(Q5:Y5)</f>
        <v>3308.0993873383254</v>
      </c>
      <c r="AA5" s="15" t="s">
        <v>144</v>
      </c>
      <c r="AB5" s="5"/>
    </row>
    <row r="6" spans="3:28" s="32" customFormat="1" ht="16.5" thickTop="1" thickBot="1">
      <c r="C6" s="28">
        <v>2</v>
      </c>
      <c r="D6" s="13" t="s">
        <v>135</v>
      </c>
      <c r="E6" s="14" t="s">
        <v>137</v>
      </c>
      <c r="F6" s="15" t="s">
        <v>46</v>
      </c>
      <c r="G6" s="26" t="s">
        <v>136</v>
      </c>
      <c r="H6" s="16" t="s">
        <v>138</v>
      </c>
      <c r="I6" s="15" t="s">
        <v>48</v>
      </c>
      <c r="J6" s="16" t="s">
        <v>49</v>
      </c>
      <c r="K6" s="16">
        <v>1</v>
      </c>
      <c r="L6" s="17">
        <v>1.1339999999999999</v>
      </c>
      <c r="M6" s="16">
        <v>1</v>
      </c>
      <c r="N6" s="27" t="s">
        <v>139</v>
      </c>
      <c r="O6" s="18">
        <v>45911</v>
      </c>
      <c r="P6" s="19">
        <v>1</v>
      </c>
      <c r="Q6" s="20">
        <f>'SCT0127'!G13</f>
        <v>150</v>
      </c>
      <c r="R6" s="20">
        <f>'SCT0127'!G14</f>
        <v>150</v>
      </c>
      <c r="S6" s="15"/>
      <c r="T6" s="20">
        <f>'SCT0127'!G15</f>
        <v>372</v>
      </c>
      <c r="U6" s="20">
        <f>'SCT0127'!G16</f>
        <v>252</v>
      </c>
      <c r="V6" s="15"/>
      <c r="W6" s="15"/>
      <c r="X6" s="15"/>
      <c r="Y6" s="20">
        <f>SUM('SCT0127'!G17:G26)</f>
        <v>65.820285908781486</v>
      </c>
      <c r="Z6" s="31">
        <f t="shared" si="0"/>
        <v>989.82028590878144</v>
      </c>
      <c r="AA6" s="15" t="s">
        <v>144</v>
      </c>
      <c r="AB6" s="5"/>
    </row>
    <row r="7" spans="3:28" s="32" customFormat="1" ht="16.5" thickTop="1" thickBot="1">
      <c r="C7" s="28">
        <v>3</v>
      </c>
      <c r="D7" s="13" t="s">
        <v>117</v>
      </c>
      <c r="E7" s="14" t="s">
        <v>127</v>
      </c>
      <c r="F7" s="15" t="s">
        <v>46</v>
      </c>
      <c r="G7" s="26" t="s">
        <v>129</v>
      </c>
      <c r="H7" s="16" t="s">
        <v>47</v>
      </c>
      <c r="I7" s="15" t="s">
        <v>48</v>
      </c>
      <c r="J7" s="16" t="s">
        <v>49</v>
      </c>
      <c r="K7" s="16">
        <v>0</v>
      </c>
      <c r="L7" s="17">
        <v>194.04499999999999</v>
      </c>
      <c r="M7" s="16">
        <v>38</v>
      </c>
      <c r="N7" s="27" t="s">
        <v>130</v>
      </c>
      <c r="O7" s="18">
        <v>45699</v>
      </c>
      <c r="P7" s="19">
        <v>7</v>
      </c>
      <c r="Q7" s="20"/>
      <c r="R7" s="20"/>
      <c r="S7" s="15"/>
      <c r="T7" s="20"/>
      <c r="U7" s="20"/>
      <c r="V7" s="15"/>
      <c r="W7" s="15"/>
      <c r="X7" s="15"/>
      <c r="Y7" s="20">
        <f>'SCT0038'!G13</f>
        <v>21.78352620830497</v>
      </c>
      <c r="Z7" s="31">
        <f t="shared" si="0"/>
        <v>21.78352620830497</v>
      </c>
      <c r="AA7" s="15" t="s">
        <v>151</v>
      </c>
      <c r="AB7" s="5"/>
    </row>
    <row r="8" spans="3:28" s="32" customFormat="1" ht="16.5" thickTop="1" thickBot="1">
      <c r="C8" s="28">
        <v>4</v>
      </c>
      <c r="D8" s="13" t="s">
        <v>63</v>
      </c>
      <c r="E8" s="14" t="s">
        <v>64</v>
      </c>
      <c r="F8" s="15" t="s">
        <v>46</v>
      </c>
      <c r="G8" s="26" t="s">
        <v>65</v>
      </c>
      <c r="H8" s="16" t="s">
        <v>47</v>
      </c>
      <c r="I8" s="15" t="s">
        <v>48</v>
      </c>
      <c r="J8" s="16" t="s">
        <v>49</v>
      </c>
      <c r="K8" s="16">
        <v>1</v>
      </c>
      <c r="L8" s="17">
        <v>4.67</v>
      </c>
      <c r="M8" s="16">
        <v>4</v>
      </c>
      <c r="N8" s="27" t="s">
        <v>66</v>
      </c>
      <c r="O8" s="18">
        <v>45908</v>
      </c>
      <c r="P8" s="19">
        <v>1</v>
      </c>
      <c r="Q8" s="20">
        <f>'SCT0122'!G13</f>
        <v>150</v>
      </c>
      <c r="R8" s="20">
        <f>'SCT0122'!G14</f>
        <v>150</v>
      </c>
      <c r="S8" s="15"/>
      <c r="T8" s="20">
        <f>'SCT0122'!G15</f>
        <v>372</v>
      </c>
      <c r="U8" s="20">
        <f>'SCT0122'!G16</f>
        <v>252</v>
      </c>
      <c r="V8" s="15"/>
      <c r="W8" s="15"/>
      <c r="X8" s="15"/>
      <c r="Y8" s="20">
        <f>SUM('SCT0122'!G17:G26)</f>
        <v>70.796460176991161</v>
      </c>
      <c r="Z8" s="31">
        <f t="shared" ref="Z8:Z33" si="1">SUM(Q8:Y8)</f>
        <v>994.7964601769911</v>
      </c>
      <c r="AA8" s="15" t="s">
        <v>144</v>
      </c>
      <c r="AB8" s="33"/>
    </row>
    <row r="9" spans="3:28" s="32" customFormat="1" ht="16.5" thickTop="1" thickBot="1">
      <c r="C9" s="28">
        <v>5</v>
      </c>
      <c r="D9" s="13" t="s">
        <v>69</v>
      </c>
      <c r="E9" s="14" t="s">
        <v>70</v>
      </c>
      <c r="F9" s="15" t="s">
        <v>46</v>
      </c>
      <c r="G9" s="26" t="s">
        <v>72</v>
      </c>
      <c r="H9" s="16" t="s">
        <v>71</v>
      </c>
      <c r="I9" s="15" t="s">
        <v>73</v>
      </c>
      <c r="J9" s="16" t="s">
        <v>74</v>
      </c>
      <c r="K9" s="16">
        <v>0</v>
      </c>
      <c r="L9" s="17">
        <v>12.757</v>
      </c>
      <c r="M9" s="16">
        <v>4</v>
      </c>
      <c r="N9" s="27" t="s">
        <v>75</v>
      </c>
      <c r="O9" s="18">
        <v>45908</v>
      </c>
      <c r="P9" s="19">
        <v>1</v>
      </c>
      <c r="Q9" s="20">
        <f>'SCT0131'!G13</f>
        <v>80</v>
      </c>
      <c r="R9" s="20">
        <f>'SCT0131'!G14</f>
        <v>150</v>
      </c>
      <c r="S9" s="15"/>
      <c r="T9" s="20">
        <f>'SCT0131'!G15</f>
        <v>1174.8000000000002</v>
      </c>
      <c r="U9" s="20">
        <f>'SCT0131'!G16</f>
        <v>200</v>
      </c>
      <c r="V9" s="15"/>
      <c r="W9" s="15"/>
      <c r="X9" s="15"/>
      <c r="Y9" s="20">
        <f>SUM('SCT0131'!G17:G25)</f>
        <v>16.882232811436353</v>
      </c>
      <c r="Z9" s="31">
        <f t="shared" ref="Z9" si="2">SUM(Q9:Y9)</f>
        <v>1621.6822328114365</v>
      </c>
      <c r="AA9" s="15" t="s">
        <v>144</v>
      </c>
      <c r="AB9" s="33"/>
    </row>
    <row r="10" spans="3:28" s="32" customFormat="1" ht="16.5" thickTop="1" thickBot="1">
      <c r="C10" s="28">
        <v>6</v>
      </c>
      <c r="D10" s="13" t="s">
        <v>98</v>
      </c>
      <c r="E10" s="14" t="s">
        <v>100</v>
      </c>
      <c r="F10" s="15" t="s">
        <v>46</v>
      </c>
      <c r="G10" s="26" t="s">
        <v>99</v>
      </c>
      <c r="H10" s="16" t="s">
        <v>47</v>
      </c>
      <c r="I10" s="15" t="s">
        <v>48</v>
      </c>
      <c r="J10" s="16" t="s">
        <v>49</v>
      </c>
      <c r="K10" s="16">
        <v>1</v>
      </c>
      <c r="L10" s="17">
        <v>30.74</v>
      </c>
      <c r="M10" s="16">
        <v>6</v>
      </c>
      <c r="N10" s="27" t="s">
        <v>133</v>
      </c>
      <c r="O10" s="18">
        <v>45917</v>
      </c>
      <c r="P10" s="19">
        <v>1</v>
      </c>
      <c r="Q10" s="20">
        <f>'SCT0123,0124'!G13</f>
        <v>150</v>
      </c>
      <c r="R10" s="20">
        <f>'SCT0123,0124'!G14</f>
        <v>150</v>
      </c>
      <c r="S10" s="15"/>
      <c r="T10" s="20">
        <f>'SCT0123,0124'!G15</f>
        <v>479</v>
      </c>
      <c r="U10" s="20">
        <f>'SCT0123,0124'!G16</f>
        <v>252</v>
      </c>
      <c r="V10" s="15"/>
      <c r="W10" s="15"/>
      <c r="X10" s="15"/>
      <c r="Y10" s="20">
        <f>SUM('SCT0123,0124'!G17:G27)</f>
        <v>81.519400953029276</v>
      </c>
      <c r="Z10" s="31">
        <f t="shared" ref="Z10:Z11" si="3">SUM(Q10:Y10)</f>
        <v>1112.5194009530292</v>
      </c>
      <c r="AA10" s="15" t="s">
        <v>144</v>
      </c>
      <c r="AB10" s="33"/>
    </row>
    <row r="11" spans="3:28" s="32" customFormat="1" ht="16.5" thickTop="1" thickBot="1">
      <c r="C11" s="28">
        <v>7</v>
      </c>
      <c r="D11" s="13" t="s">
        <v>124</v>
      </c>
      <c r="E11" s="14" t="s">
        <v>126</v>
      </c>
      <c r="F11" s="15" t="s">
        <v>46</v>
      </c>
      <c r="G11" s="26" t="s">
        <v>125</v>
      </c>
      <c r="H11" s="16" t="s">
        <v>71</v>
      </c>
      <c r="I11" s="15" t="s">
        <v>73</v>
      </c>
      <c r="J11" s="16" t="s">
        <v>74</v>
      </c>
      <c r="K11" s="16">
        <v>0</v>
      </c>
      <c r="L11" s="17">
        <v>2.11</v>
      </c>
      <c r="M11" s="16">
        <v>4</v>
      </c>
      <c r="N11" s="27" t="s">
        <v>134</v>
      </c>
      <c r="O11" s="18">
        <v>45926</v>
      </c>
      <c r="P11" s="19">
        <v>3</v>
      </c>
      <c r="Q11" s="20">
        <f>'SCT0134'!G13</f>
        <v>80</v>
      </c>
      <c r="R11" s="20">
        <f>'SCT0134'!G14</f>
        <v>150</v>
      </c>
      <c r="S11" s="15"/>
      <c r="T11" s="20">
        <f>'SCT0134'!G15</f>
        <v>1197.9000000000001</v>
      </c>
      <c r="U11" s="20">
        <f>'SCT0134'!G16+'SCT0134'!G17</f>
        <v>910</v>
      </c>
      <c r="V11" s="15"/>
      <c r="W11" s="15"/>
      <c r="X11" s="15"/>
      <c r="Y11" s="20">
        <f>SUM('SCT0134'!G18:G25)</f>
        <v>16.882232811436353</v>
      </c>
      <c r="Z11" s="31">
        <f t="shared" si="3"/>
        <v>2354.7822328114366</v>
      </c>
      <c r="AA11" s="15" t="s">
        <v>144</v>
      </c>
      <c r="AB11" s="33"/>
    </row>
    <row r="12" spans="3:28" s="32" customFormat="1" ht="16.5" thickTop="1" thickBot="1">
      <c r="C12" s="28">
        <v>8</v>
      </c>
      <c r="D12" s="13" t="s">
        <v>80</v>
      </c>
      <c r="E12" s="14" t="s">
        <v>81</v>
      </c>
      <c r="F12" s="15" t="s">
        <v>143</v>
      </c>
      <c r="G12" s="26" t="s">
        <v>145</v>
      </c>
      <c r="H12" s="16" t="s">
        <v>146</v>
      </c>
      <c r="I12" s="15" t="s">
        <v>48</v>
      </c>
      <c r="J12" s="16" t="s">
        <v>49</v>
      </c>
      <c r="K12" s="16">
        <v>4</v>
      </c>
      <c r="L12" s="17">
        <v>153.18799999999999</v>
      </c>
      <c r="M12" s="16">
        <v>4</v>
      </c>
      <c r="N12" s="27" t="s">
        <v>147</v>
      </c>
      <c r="O12" s="18">
        <v>45902</v>
      </c>
      <c r="P12" s="19">
        <v>0</v>
      </c>
      <c r="Q12" s="20">
        <f>'HE0472'!G13</f>
        <v>150</v>
      </c>
      <c r="R12" s="20">
        <f>'HE0471'!G14</f>
        <v>150</v>
      </c>
      <c r="S12" s="15"/>
      <c r="T12" s="20"/>
      <c r="U12" s="20"/>
      <c r="V12" s="15"/>
      <c r="W12" s="15"/>
      <c r="X12" s="15"/>
      <c r="Y12" s="20"/>
      <c r="Z12" s="31">
        <f t="shared" si="1"/>
        <v>300</v>
      </c>
      <c r="AA12" s="15" t="s">
        <v>148</v>
      </c>
      <c r="AB12" s="5"/>
    </row>
    <row r="13" spans="3:28" s="60" customFormat="1" ht="16.5" thickTop="1" thickBot="1">
      <c r="C13" s="28">
        <v>9</v>
      </c>
      <c r="D13" s="13" t="s">
        <v>83</v>
      </c>
      <c r="E13" s="61" t="s">
        <v>84</v>
      </c>
      <c r="F13" s="15" t="s">
        <v>143</v>
      </c>
      <c r="G13" s="62" t="s">
        <v>85</v>
      </c>
      <c r="H13" s="16" t="s">
        <v>146</v>
      </c>
      <c r="I13" s="15" t="s">
        <v>48</v>
      </c>
      <c r="J13" s="16" t="s">
        <v>49</v>
      </c>
      <c r="K13" s="63">
        <v>6</v>
      </c>
      <c r="L13" s="64">
        <v>229.78200000000001</v>
      </c>
      <c r="M13" s="63">
        <v>6</v>
      </c>
      <c r="N13" s="63" t="s">
        <v>149</v>
      </c>
      <c r="O13" s="18">
        <v>45902</v>
      </c>
      <c r="P13" s="19">
        <v>0</v>
      </c>
      <c r="Q13" s="20">
        <f>'HE0472'!G13</f>
        <v>150</v>
      </c>
      <c r="R13" s="20">
        <f>'HE0472'!G14</f>
        <v>150</v>
      </c>
      <c r="S13" s="15"/>
      <c r="T13" s="20"/>
      <c r="U13" s="20"/>
      <c r="V13" s="15"/>
      <c r="W13" s="15"/>
      <c r="X13" s="15"/>
      <c r="Y13" s="20"/>
      <c r="Z13" s="31">
        <f t="shared" ref="Z13" si="4">SUM(Q13:Y13)</f>
        <v>300</v>
      </c>
      <c r="AA13" s="15" t="s">
        <v>148</v>
      </c>
      <c r="AB13" s="59"/>
    </row>
    <row r="14" spans="3:28" s="67" customFormat="1" ht="16.5" thickTop="1" thickBot="1">
      <c r="C14" s="28">
        <v>10</v>
      </c>
      <c r="D14" s="13" t="s">
        <v>86</v>
      </c>
      <c r="E14" s="61" t="s">
        <v>88</v>
      </c>
      <c r="F14" s="15" t="s">
        <v>143</v>
      </c>
      <c r="G14" s="62" t="s">
        <v>87</v>
      </c>
      <c r="H14" s="16" t="s">
        <v>146</v>
      </c>
      <c r="I14" s="15" t="s">
        <v>48</v>
      </c>
      <c r="J14" s="16" t="s">
        <v>49</v>
      </c>
      <c r="K14" s="63">
        <v>7</v>
      </c>
      <c r="L14" s="64">
        <v>268.07900000000001</v>
      </c>
      <c r="M14" s="63">
        <v>7</v>
      </c>
      <c r="N14" s="63" t="s">
        <v>150</v>
      </c>
      <c r="O14" s="18">
        <v>45902</v>
      </c>
      <c r="P14" s="19">
        <v>0</v>
      </c>
      <c r="Q14" s="20">
        <f>'HE0473'!G13</f>
        <v>150</v>
      </c>
      <c r="R14" s="20">
        <f>'HE0473'!G14</f>
        <v>150</v>
      </c>
      <c r="S14" s="15"/>
      <c r="T14" s="20"/>
      <c r="U14" s="20"/>
      <c r="V14" s="15"/>
      <c r="W14" s="15"/>
      <c r="X14" s="15"/>
      <c r="Y14" s="20"/>
      <c r="Z14" s="31">
        <f t="shared" ref="Z14" si="5">SUM(Q14:Y14)</f>
        <v>300</v>
      </c>
      <c r="AA14" s="15" t="s">
        <v>148</v>
      </c>
      <c r="AB14" s="66"/>
    </row>
    <row r="15" spans="3:28" s="60" customFormat="1" ht="16.5" thickTop="1" thickBot="1">
      <c r="C15" s="28">
        <v>11</v>
      </c>
      <c r="D15" s="13" t="s">
        <v>89</v>
      </c>
      <c r="E15" s="61" t="s">
        <v>91</v>
      </c>
      <c r="F15" s="15" t="s">
        <v>143</v>
      </c>
      <c r="G15" s="62" t="s">
        <v>90</v>
      </c>
      <c r="H15" s="16" t="s">
        <v>146</v>
      </c>
      <c r="I15" s="15" t="s">
        <v>48</v>
      </c>
      <c r="J15" s="16" t="s">
        <v>49</v>
      </c>
      <c r="K15" s="63">
        <v>6</v>
      </c>
      <c r="L15" s="64">
        <v>314.45</v>
      </c>
      <c r="M15" s="63">
        <v>41</v>
      </c>
      <c r="N15" s="63" t="s">
        <v>152</v>
      </c>
      <c r="O15" s="65">
        <v>45909</v>
      </c>
      <c r="P15" s="19">
        <v>0</v>
      </c>
      <c r="Q15" s="20">
        <f>'HE0450,0459,0460'!G13</f>
        <v>150</v>
      </c>
      <c r="R15" s="20">
        <f>'HE0450,0459,0460'!G14</f>
        <v>150</v>
      </c>
      <c r="S15" s="15"/>
      <c r="T15" s="20"/>
      <c r="U15" s="20"/>
      <c r="V15" s="15"/>
      <c r="W15" s="15"/>
      <c r="X15" s="15"/>
      <c r="Y15" s="20"/>
      <c r="Z15" s="31">
        <f t="shared" ref="Z15" si="6">SUM(Q15:Y15)</f>
        <v>300</v>
      </c>
      <c r="AA15" s="15" t="s">
        <v>148</v>
      </c>
      <c r="AB15" s="59"/>
    </row>
    <row r="16" spans="3:28" s="32" customFormat="1" ht="16.5" thickTop="1" thickBot="1">
      <c r="C16" s="28">
        <v>12</v>
      </c>
      <c r="D16" s="13" t="s">
        <v>153</v>
      </c>
      <c r="E16" s="14" t="s">
        <v>116</v>
      </c>
      <c r="F16" s="15" t="s">
        <v>143</v>
      </c>
      <c r="G16" s="26" t="s">
        <v>115</v>
      </c>
      <c r="H16" s="16" t="s">
        <v>146</v>
      </c>
      <c r="I16" s="15" t="s">
        <v>48</v>
      </c>
      <c r="J16" s="16" t="s">
        <v>49</v>
      </c>
      <c r="K16" s="16">
        <v>1</v>
      </c>
      <c r="L16" s="17">
        <v>25</v>
      </c>
      <c r="M16" s="16">
        <v>8</v>
      </c>
      <c r="N16" s="27" t="s">
        <v>154</v>
      </c>
      <c r="O16" s="18">
        <v>45915</v>
      </c>
      <c r="P16" s="19">
        <v>0</v>
      </c>
      <c r="Q16" s="20">
        <f>'HE0466,0467,0468'!G13</f>
        <v>150</v>
      </c>
      <c r="R16" s="20">
        <f>'HE0466,0467,0468'!G14</f>
        <v>150</v>
      </c>
      <c r="S16" s="15"/>
      <c r="T16" s="20"/>
      <c r="U16" s="20"/>
      <c r="V16" s="15"/>
      <c r="W16" s="15"/>
      <c r="X16" s="15"/>
      <c r="Y16" s="20"/>
      <c r="Z16" s="31">
        <f t="shared" si="1"/>
        <v>300</v>
      </c>
      <c r="AA16" s="15" t="s">
        <v>148</v>
      </c>
      <c r="AB16" s="5"/>
    </row>
    <row r="17" spans="3:28" s="32" customFormat="1" ht="16.5" thickTop="1" thickBot="1">
      <c r="C17" s="28">
        <v>13</v>
      </c>
      <c r="D17" s="13" t="s">
        <v>156</v>
      </c>
      <c r="E17" s="14" t="s">
        <v>97</v>
      </c>
      <c r="F17" s="15" t="s">
        <v>143</v>
      </c>
      <c r="G17" s="26" t="s">
        <v>96</v>
      </c>
      <c r="H17" s="16" t="s">
        <v>146</v>
      </c>
      <c r="I17" s="15" t="s">
        <v>48</v>
      </c>
      <c r="J17" s="16" t="s">
        <v>49</v>
      </c>
      <c r="K17" s="16">
        <v>7</v>
      </c>
      <c r="L17" s="17">
        <v>254.87</v>
      </c>
      <c r="M17" s="16">
        <v>116</v>
      </c>
      <c r="N17" s="27" t="s">
        <v>155</v>
      </c>
      <c r="O17" s="18">
        <v>45911</v>
      </c>
      <c r="P17" s="19">
        <v>0</v>
      </c>
      <c r="Q17" s="20">
        <f>'HE0464,0465,0470'!G13</f>
        <v>150</v>
      </c>
      <c r="R17" s="20">
        <f>'HE0464,0465,0470'!G14</f>
        <v>150</v>
      </c>
      <c r="S17" s="15"/>
      <c r="T17" s="20"/>
      <c r="U17" s="20"/>
      <c r="V17" s="15"/>
      <c r="W17" s="15"/>
      <c r="X17" s="15"/>
      <c r="Y17" s="20"/>
      <c r="Z17" s="31">
        <f t="shared" ref="Z17" si="7">SUM(Q17:Y17)</f>
        <v>300</v>
      </c>
      <c r="AA17" s="15" t="s">
        <v>148</v>
      </c>
      <c r="AB17" s="5"/>
    </row>
    <row r="18" spans="3:28" s="32" customFormat="1" ht="31.5" thickTop="1" thickBot="1">
      <c r="C18" s="28">
        <v>14</v>
      </c>
      <c r="D18" s="57" t="s">
        <v>108</v>
      </c>
      <c r="E18" s="14" t="s">
        <v>109</v>
      </c>
      <c r="F18" s="15" t="s">
        <v>143</v>
      </c>
      <c r="G18" s="26" t="s">
        <v>110</v>
      </c>
      <c r="H18" s="16" t="s">
        <v>146</v>
      </c>
      <c r="I18" s="15" t="s">
        <v>48</v>
      </c>
      <c r="J18" s="16" t="s">
        <v>49</v>
      </c>
      <c r="K18" s="16">
        <v>1</v>
      </c>
      <c r="L18" s="17">
        <v>5.2549999999999999</v>
      </c>
      <c r="M18" s="16">
        <v>8</v>
      </c>
      <c r="N18" s="27" t="s">
        <v>157</v>
      </c>
      <c r="O18" s="18">
        <v>45911</v>
      </c>
      <c r="P18" s="19">
        <v>0</v>
      </c>
      <c r="Q18" s="20">
        <f>'HE0437,0438-2,0439-2,0440-1,044'!G13</f>
        <v>150</v>
      </c>
      <c r="R18" s="20">
        <f>'HE0437,0438-2,0439-2,0440-1,044'!G14</f>
        <v>150</v>
      </c>
      <c r="S18" s="15"/>
      <c r="T18" s="20"/>
      <c r="U18" s="20"/>
      <c r="V18" s="15"/>
      <c r="W18" s="15"/>
      <c r="X18" s="15"/>
      <c r="Y18" s="20"/>
      <c r="Z18" s="31">
        <f t="shared" si="1"/>
        <v>300</v>
      </c>
      <c r="AA18" s="15" t="s">
        <v>148</v>
      </c>
      <c r="AB18" s="5"/>
    </row>
    <row r="19" spans="3:28" ht="16.5" thickTop="1" thickBot="1">
      <c r="C19" s="28">
        <v>15</v>
      </c>
      <c r="D19" s="57" t="s">
        <v>92</v>
      </c>
      <c r="E19" s="14" t="s">
        <v>94</v>
      </c>
      <c r="F19" s="15" t="s">
        <v>143</v>
      </c>
      <c r="G19" s="26" t="s">
        <v>93</v>
      </c>
      <c r="H19" s="16" t="s">
        <v>158</v>
      </c>
      <c r="I19" s="15" t="s">
        <v>73</v>
      </c>
      <c r="J19" s="16" t="s">
        <v>74</v>
      </c>
      <c r="K19" s="16">
        <v>0</v>
      </c>
      <c r="L19" s="17">
        <v>0</v>
      </c>
      <c r="M19" s="16">
        <v>5</v>
      </c>
      <c r="N19" s="27" t="s">
        <v>159</v>
      </c>
      <c r="O19" s="18">
        <v>45902</v>
      </c>
      <c r="P19" s="19">
        <v>0</v>
      </c>
      <c r="Q19" s="20">
        <f>'HE0487'!G13</f>
        <v>80</v>
      </c>
      <c r="R19" s="20">
        <f>'HE0487'!G14</f>
        <v>150</v>
      </c>
      <c r="S19" s="15"/>
      <c r="T19" s="20"/>
      <c r="U19" s="20"/>
      <c r="V19" s="15"/>
      <c r="W19" s="15"/>
      <c r="X19" s="15"/>
      <c r="Y19" s="20"/>
      <c r="Z19" s="31">
        <f t="shared" si="1"/>
        <v>230</v>
      </c>
      <c r="AA19" s="15" t="s">
        <v>148</v>
      </c>
    </row>
    <row r="20" spans="3:28" ht="31.5" thickTop="1" thickBot="1">
      <c r="C20" s="28">
        <v>16</v>
      </c>
      <c r="D20" s="57" t="s">
        <v>161</v>
      </c>
      <c r="E20" s="14" t="s">
        <v>162</v>
      </c>
      <c r="F20" s="15" t="s">
        <v>143</v>
      </c>
      <c r="G20" s="21" t="s">
        <v>160</v>
      </c>
      <c r="H20" s="16" t="s">
        <v>163</v>
      </c>
      <c r="I20" s="15" t="s">
        <v>48</v>
      </c>
      <c r="J20" s="16" t="s">
        <v>49</v>
      </c>
      <c r="K20" s="16">
        <v>5</v>
      </c>
      <c r="L20" s="17">
        <v>0</v>
      </c>
      <c r="M20" s="16">
        <f>12+7+6+7+8</f>
        <v>40</v>
      </c>
      <c r="N20" s="16" t="s">
        <v>164</v>
      </c>
      <c r="O20" s="18">
        <v>45896</v>
      </c>
      <c r="P20" s="19">
        <v>0</v>
      </c>
      <c r="Q20" s="20">
        <f>'HE0438-0454'!G13</f>
        <v>150</v>
      </c>
      <c r="R20" s="20">
        <f>'HE0438-0454'!G14</f>
        <v>150</v>
      </c>
      <c r="S20" s="15"/>
      <c r="T20" s="20"/>
      <c r="U20" s="20"/>
      <c r="V20" s="15"/>
      <c r="W20" s="15"/>
      <c r="X20" s="15"/>
      <c r="Y20" s="20"/>
      <c r="Z20" s="31">
        <f>SUM(Q20:Y20)</f>
        <v>300</v>
      </c>
      <c r="AA20" s="15" t="s">
        <v>148</v>
      </c>
    </row>
    <row r="21" spans="3:28" ht="31.5" thickTop="1" thickBot="1">
      <c r="C21" s="28">
        <v>17</v>
      </c>
      <c r="D21" s="57" t="s">
        <v>165</v>
      </c>
      <c r="E21" s="14" t="s">
        <v>167</v>
      </c>
      <c r="F21" s="15" t="s">
        <v>143</v>
      </c>
      <c r="G21" s="21" t="s">
        <v>166</v>
      </c>
      <c r="H21" s="16" t="s">
        <v>168</v>
      </c>
      <c r="I21" s="15" t="s">
        <v>48</v>
      </c>
      <c r="J21" s="16" t="s">
        <v>49</v>
      </c>
      <c r="K21" s="16">
        <v>4</v>
      </c>
      <c r="L21" s="17">
        <v>0</v>
      </c>
      <c r="M21" s="16">
        <v>8</v>
      </c>
      <c r="N21" s="16" t="s">
        <v>169</v>
      </c>
      <c r="O21" s="18">
        <v>45918</v>
      </c>
      <c r="P21" s="19">
        <v>0</v>
      </c>
      <c r="Q21" s="20">
        <f>'HE0425,0426,0427,0428'!G13</f>
        <v>150</v>
      </c>
      <c r="R21" s="20">
        <f>'HE0425,0426,0427,0428'!G14</f>
        <v>150</v>
      </c>
      <c r="S21" s="15"/>
      <c r="T21" s="20"/>
      <c r="U21" s="20"/>
      <c r="V21" s="15"/>
      <c r="W21" s="15"/>
      <c r="X21" s="15"/>
      <c r="Y21" s="20"/>
      <c r="Z21" s="31">
        <f t="shared" ref="Z21:Z27" si="8">SUM(Q21:Y21)</f>
        <v>300</v>
      </c>
      <c r="AA21" s="15" t="s">
        <v>148</v>
      </c>
    </row>
    <row r="22" spans="3:28" ht="16.5" thickTop="1" thickBot="1">
      <c r="C22" s="28">
        <v>18</v>
      </c>
      <c r="D22" s="57" t="s">
        <v>170</v>
      </c>
      <c r="E22" s="14" t="s">
        <v>171</v>
      </c>
      <c r="F22" s="15" t="s">
        <v>143</v>
      </c>
      <c r="G22" s="21" t="s">
        <v>172</v>
      </c>
      <c r="H22" s="16" t="s">
        <v>146</v>
      </c>
      <c r="I22" s="15" t="s">
        <v>48</v>
      </c>
      <c r="J22" s="16" t="s">
        <v>49</v>
      </c>
      <c r="K22" s="16">
        <v>4</v>
      </c>
      <c r="L22" s="17">
        <v>153.18799999999999</v>
      </c>
      <c r="M22" s="16">
        <v>4</v>
      </c>
      <c r="N22" s="16" t="s">
        <v>173</v>
      </c>
      <c r="O22" s="18">
        <v>45923</v>
      </c>
      <c r="P22" s="19">
        <v>0</v>
      </c>
      <c r="Q22" s="20">
        <f>'HE0475'!G13</f>
        <v>150</v>
      </c>
      <c r="R22" s="20">
        <f>'HE0475'!G14</f>
        <v>150</v>
      </c>
      <c r="S22" s="15"/>
      <c r="T22" s="20"/>
      <c r="U22" s="20"/>
      <c r="V22" s="15"/>
      <c r="W22" s="15"/>
      <c r="X22" s="15"/>
      <c r="Y22" s="20"/>
      <c r="Z22" s="31">
        <f t="shared" si="8"/>
        <v>300</v>
      </c>
      <c r="AA22" s="15" t="s">
        <v>148</v>
      </c>
    </row>
    <row r="23" spans="3:28" ht="28.5" thickTop="1" thickBot="1">
      <c r="C23" s="28">
        <v>19</v>
      </c>
      <c r="D23" s="57" t="s">
        <v>174</v>
      </c>
      <c r="E23" s="14" t="s">
        <v>175</v>
      </c>
      <c r="F23" s="15" t="s">
        <v>143</v>
      </c>
      <c r="G23" s="21" t="s">
        <v>176</v>
      </c>
      <c r="H23" s="16" t="s">
        <v>158</v>
      </c>
      <c r="I23" s="15" t="s">
        <v>73</v>
      </c>
      <c r="J23" s="16" t="s">
        <v>74</v>
      </c>
      <c r="K23" s="16">
        <v>0</v>
      </c>
      <c r="L23" s="17">
        <v>0</v>
      </c>
      <c r="M23" s="16">
        <v>61</v>
      </c>
      <c r="N23" s="16" t="s">
        <v>177</v>
      </c>
      <c r="O23" s="18">
        <v>45912</v>
      </c>
      <c r="P23" s="19">
        <v>0</v>
      </c>
      <c r="Q23" s="20">
        <f>'HE0497'!G13</f>
        <v>160</v>
      </c>
      <c r="R23" s="20">
        <f>'HE0497'!G14</f>
        <v>300</v>
      </c>
      <c r="S23" s="15"/>
      <c r="T23" s="20"/>
      <c r="U23" s="20"/>
      <c r="V23" s="15"/>
      <c r="W23" s="15"/>
      <c r="X23" s="15"/>
      <c r="Y23" s="20"/>
      <c r="Z23" s="31">
        <f t="shared" si="8"/>
        <v>460</v>
      </c>
      <c r="AA23" s="15" t="s">
        <v>148</v>
      </c>
    </row>
    <row r="24" spans="3:28" ht="16.5" thickTop="1" thickBot="1">
      <c r="C24" s="28">
        <v>20</v>
      </c>
      <c r="D24" s="57" t="s">
        <v>112</v>
      </c>
      <c r="E24" s="14" t="s">
        <v>111</v>
      </c>
      <c r="F24" s="15" t="s">
        <v>143</v>
      </c>
      <c r="G24" s="21" t="s">
        <v>113</v>
      </c>
      <c r="H24" s="16" t="s">
        <v>178</v>
      </c>
      <c r="I24" s="15" t="s">
        <v>73</v>
      </c>
      <c r="J24" s="16" t="s">
        <v>74</v>
      </c>
      <c r="K24" s="16">
        <v>0</v>
      </c>
      <c r="L24" s="17">
        <v>0</v>
      </c>
      <c r="M24" s="16">
        <v>2</v>
      </c>
      <c r="N24" s="16" t="s">
        <v>179</v>
      </c>
      <c r="O24" s="18">
        <v>45915</v>
      </c>
      <c r="P24" s="19">
        <v>0</v>
      </c>
      <c r="Q24" s="20">
        <f>'HE0500'!G13</f>
        <v>80</v>
      </c>
      <c r="R24" s="20">
        <f>'HE0500'!G14</f>
        <v>150</v>
      </c>
      <c r="S24" s="15"/>
      <c r="T24" s="20"/>
      <c r="U24" s="20"/>
      <c r="V24" s="15"/>
      <c r="W24" s="15"/>
      <c r="X24" s="15"/>
      <c r="Y24" s="20"/>
      <c r="Z24" s="31">
        <f t="shared" si="8"/>
        <v>230</v>
      </c>
      <c r="AA24" s="15" t="s">
        <v>148</v>
      </c>
    </row>
    <row r="25" spans="3:28" ht="16.5" thickTop="1" thickBot="1">
      <c r="C25" s="28">
        <v>21</v>
      </c>
      <c r="D25" s="57" t="s">
        <v>180</v>
      </c>
      <c r="E25" s="14" t="s">
        <v>181</v>
      </c>
      <c r="F25" s="15" t="s">
        <v>143</v>
      </c>
      <c r="G25" s="21" t="s">
        <v>182</v>
      </c>
      <c r="H25" s="16" t="s">
        <v>158</v>
      </c>
      <c r="I25" s="15" t="s">
        <v>73</v>
      </c>
      <c r="J25" s="16" t="s">
        <v>74</v>
      </c>
      <c r="K25" s="16">
        <v>0</v>
      </c>
      <c r="L25" s="17">
        <v>0</v>
      </c>
      <c r="M25" s="16">
        <v>8</v>
      </c>
      <c r="N25" s="16" t="s">
        <v>183</v>
      </c>
      <c r="O25" s="18">
        <v>45902</v>
      </c>
      <c r="P25" s="19">
        <v>0</v>
      </c>
      <c r="Q25" s="20">
        <f>'HE0488'!G13</f>
        <v>80</v>
      </c>
      <c r="R25" s="20">
        <f>'HE0488'!G14</f>
        <v>150</v>
      </c>
      <c r="S25" s="15"/>
      <c r="T25" s="20"/>
      <c r="U25" s="20"/>
      <c r="V25" s="15"/>
      <c r="W25" s="15"/>
      <c r="X25" s="15"/>
      <c r="Y25" s="20"/>
      <c r="Z25" s="31">
        <f t="shared" si="8"/>
        <v>230</v>
      </c>
      <c r="AA25" s="15" t="s">
        <v>148</v>
      </c>
    </row>
    <row r="26" spans="3:28" ht="28.5" thickTop="1" thickBot="1">
      <c r="C26" s="28">
        <v>22</v>
      </c>
      <c r="D26" s="57" t="s">
        <v>184</v>
      </c>
      <c r="E26" s="14" t="s">
        <v>185</v>
      </c>
      <c r="F26" s="15" t="s">
        <v>143</v>
      </c>
      <c r="G26" s="21" t="s">
        <v>186</v>
      </c>
      <c r="H26" s="16" t="s">
        <v>178</v>
      </c>
      <c r="I26" s="15" t="s">
        <v>73</v>
      </c>
      <c r="J26" s="16" t="s">
        <v>74</v>
      </c>
      <c r="K26" s="16">
        <v>0</v>
      </c>
      <c r="L26" s="17">
        <v>0</v>
      </c>
      <c r="M26" s="16">
        <v>16</v>
      </c>
      <c r="N26" s="16" t="s">
        <v>187</v>
      </c>
      <c r="O26" s="18">
        <v>45903</v>
      </c>
      <c r="P26" s="19">
        <v>0</v>
      </c>
      <c r="Q26" s="20">
        <f>'HE0495,0496'!G13</f>
        <v>160</v>
      </c>
      <c r="R26" s="20">
        <f>'HE0495,0496'!G14</f>
        <v>300</v>
      </c>
      <c r="S26" s="15"/>
      <c r="T26" s="20"/>
      <c r="U26" s="20"/>
      <c r="V26" s="15"/>
      <c r="W26" s="15"/>
      <c r="X26" s="15"/>
      <c r="Y26" s="20"/>
      <c r="Z26" s="31">
        <f t="shared" si="8"/>
        <v>460</v>
      </c>
      <c r="AA26" s="15" t="s">
        <v>148</v>
      </c>
    </row>
    <row r="27" spans="3:28" ht="16.5" thickTop="1" thickBot="1">
      <c r="C27" s="28">
        <v>23</v>
      </c>
      <c r="D27" s="57" t="s">
        <v>188</v>
      </c>
      <c r="E27" s="14" t="s">
        <v>190</v>
      </c>
      <c r="F27" s="15" t="s">
        <v>143</v>
      </c>
      <c r="G27" s="21" t="s">
        <v>189</v>
      </c>
      <c r="H27" s="16" t="s">
        <v>191</v>
      </c>
      <c r="I27" s="15" t="s">
        <v>73</v>
      </c>
      <c r="J27" s="16" t="s">
        <v>74</v>
      </c>
      <c r="K27" s="16">
        <v>0</v>
      </c>
      <c r="L27" s="17">
        <v>0</v>
      </c>
      <c r="M27" s="16">
        <v>23</v>
      </c>
      <c r="N27" s="16" t="s">
        <v>192</v>
      </c>
      <c r="O27" s="18">
        <v>45922</v>
      </c>
      <c r="P27" s="19">
        <v>0</v>
      </c>
      <c r="Q27" s="20">
        <f>'HE0498'!G13</f>
        <v>80</v>
      </c>
      <c r="R27" s="20">
        <f>'HE0498'!G14</f>
        <v>150</v>
      </c>
      <c r="S27" s="15"/>
      <c r="T27" s="20"/>
      <c r="U27" s="20"/>
      <c r="V27" s="15"/>
      <c r="W27" s="20"/>
      <c r="X27" s="20"/>
      <c r="Y27" s="20"/>
      <c r="Z27" s="31">
        <f t="shared" si="8"/>
        <v>230</v>
      </c>
      <c r="AA27" s="15" t="s">
        <v>148</v>
      </c>
    </row>
    <row r="28" spans="3:28" ht="16.5" thickTop="1" thickBot="1">
      <c r="C28" s="28">
        <v>24</v>
      </c>
      <c r="D28" s="57" t="s">
        <v>193</v>
      </c>
      <c r="E28" s="14" t="s">
        <v>194</v>
      </c>
      <c r="F28" s="15" t="s">
        <v>143</v>
      </c>
      <c r="G28" s="21" t="s">
        <v>195</v>
      </c>
      <c r="H28" s="16" t="s">
        <v>191</v>
      </c>
      <c r="I28" s="15" t="s">
        <v>73</v>
      </c>
      <c r="J28" s="16" t="s">
        <v>74</v>
      </c>
      <c r="K28" s="16">
        <v>0</v>
      </c>
      <c r="L28" s="17">
        <v>0</v>
      </c>
      <c r="M28" s="16">
        <v>1</v>
      </c>
      <c r="N28" s="16" t="s">
        <v>196</v>
      </c>
      <c r="O28" s="18">
        <v>45924</v>
      </c>
      <c r="P28" s="19">
        <v>0</v>
      </c>
      <c r="Q28" s="20">
        <f>'HE0501'!G13</f>
        <v>80</v>
      </c>
      <c r="R28" s="20">
        <f>'HE0501'!G14</f>
        <v>150</v>
      </c>
      <c r="S28" s="15"/>
      <c r="T28" s="20"/>
      <c r="U28" s="20"/>
      <c r="V28" s="15"/>
      <c r="W28" s="15"/>
      <c r="X28" s="15"/>
      <c r="Y28" s="20"/>
      <c r="Z28" s="31">
        <f t="shared" si="1"/>
        <v>230</v>
      </c>
      <c r="AA28" s="15" t="s">
        <v>148</v>
      </c>
    </row>
    <row r="29" spans="3:28" ht="16.5" thickTop="1" thickBot="1">
      <c r="C29" s="28">
        <v>25</v>
      </c>
      <c r="D29" s="57" t="s">
        <v>197</v>
      </c>
      <c r="E29" s="14" t="s">
        <v>198</v>
      </c>
      <c r="F29" s="15" t="s">
        <v>143</v>
      </c>
      <c r="G29" s="21" t="s">
        <v>199</v>
      </c>
      <c r="H29" s="16" t="s">
        <v>200</v>
      </c>
      <c r="I29" s="15" t="s">
        <v>73</v>
      </c>
      <c r="J29" s="16" t="s">
        <v>74</v>
      </c>
      <c r="K29" s="16">
        <v>0</v>
      </c>
      <c r="L29" s="17">
        <v>0</v>
      </c>
      <c r="M29" s="16">
        <v>7</v>
      </c>
      <c r="N29" s="16" t="s">
        <v>201</v>
      </c>
      <c r="O29" s="18">
        <v>45924</v>
      </c>
      <c r="P29" s="19">
        <v>0</v>
      </c>
      <c r="Q29" s="20">
        <f>'HE0502'!G13</f>
        <v>80</v>
      </c>
      <c r="R29" s="20">
        <f>'HE0502'!G14</f>
        <v>150</v>
      </c>
      <c r="S29" s="15"/>
      <c r="T29" s="20"/>
      <c r="U29" s="20"/>
      <c r="V29" s="15"/>
      <c r="W29" s="15"/>
      <c r="X29" s="15"/>
      <c r="Y29" s="20"/>
      <c r="Z29" s="31">
        <f t="shared" si="1"/>
        <v>230</v>
      </c>
      <c r="AA29" s="15" t="s">
        <v>148</v>
      </c>
    </row>
    <row r="30" spans="3:28" ht="16.5" thickTop="1" thickBot="1">
      <c r="C30" s="28">
        <v>26</v>
      </c>
      <c r="D30" s="57" t="s">
        <v>202</v>
      </c>
      <c r="E30" s="14" t="s">
        <v>203</v>
      </c>
      <c r="F30" s="15" t="s">
        <v>223</v>
      </c>
      <c r="G30" s="21" t="s">
        <v>205</v>
      </c>
      <c r="H30" s="16" t="s">
        <v>220</v>
      </c>
      <c r="I30" s="15" t="s">
        <v>220</v>
      </c>
      <c r="J30" s="16" t="s">
        <v>220</v>
      </c>
      <c r="K30" s="16" t="s">
        <v>220</v>
      </c>
      <c r="L30" s="17" t="s">
        <v>220</v>
      </c>
      <c r="M30" s="16" t="s">
        <v>220</v>
      </c>
      <c r="N30" s="16" t="s">
        <v>219</v>
      </c>
      <c r="O30" s="18">
        <v>45903</v>
      </c>
      <c r="P30" s="19">
        <v>0</v>
      </c>
      <c r="Q30" s="20"/>
      <c r="R30" s="20"/>
      <c r="S30" s="15"/>
      <c r="T30" s="20"/>
      <c r="U30" s="20"/>
      <c r="V30" s="15"/>
      <c r="W30" s="15"/>
      <c r="X30" s="20">
        <f>HE0499L1!G27</f>
        <v>2691.77</v>
      </c>
      <c r="Y30" s="20"/>
      <c r="Z30" s="31">
        <f t="shared" ref="Z30" si="9">SUM(Q30:Y30)</f>
        <v>2691.77</v>
      </c>
      <c r="AA30" s="15" t="s">
        <v>218</v>
      </c>
    </row>
    <row r="31" spans="3:28" ht="16.5" thickTop="1" thickBot="1">
      <c r="C31" s="28">
        <v>27</v>
      </c>
      <c r="D31" s="57" t="s">
        <v>221</v>
      </c>
      <c r="E31" s="14" t="s">
        <v>222</v>
      </c>
      <c r="F31" s="15" t="s">
        <v>223</v>
      </c>
      <c r="G31" s="21" t="s">
        <v>227</v>
      </c>
      <c r="H31" s="16" t="s">
        <v>220</v>
      </c>
      <c r="I31" s="15" t="s">
        <v>220</v>
      </c>
      <c r="J31" s="16" t="s">
        <v>220</v>
      </c>
      <c r="K31" s="16" t="s">
        <v>220</v>
      </c>
      <c r="L31" s="17" t="s">
        <v>220</v>
      </c>
      <c r="M31" s="16" t="s">
        <v>220</v>
      </c>
      <c r="N31" s="16" t="s">
        <v>228</v>
      </c>
      <c r="O31" s="18">
        <v>45911</v>
      </c>
      <c r="P31" s="19">
        <v>0</v>
      </c>
      <c r="Q31" s="20"/>
      <c r="R31" s="20"/>
      <c r="S31" s="15"/>
      <c r="T31" s="20"/>
      <c r="U31" s="20"/>
      <c r="V31" s="15"/>
      <c r="W31" s="15"/>
      <c r="X31" s="20">
        <f>HE0499L2!G25</f>
        <v>1422.76</v>
      </c>
      <c r="Y31" s="20"/>
      <c r="Z31" s="31">
        <f t="shared" ref="Z31" si="10">SUM(Q31:Y31)</f>
        <v>1422.76</v>
      </c>
      <c r="AA31" s="15" t="s">
        <v>218</v>
      </c>
    </row>
    <row r="32" spans="3:28" ht="16.5" thickTop="1" thickBot="1">
      <c r="C32" s="28">
        <v>28</v>
      </c>
      <c r="D32" s="57" t="s">
        <v>231</v>
      </c>
      <c r="E32" s="14" t="s">
        <v>230</v>
      </c>
      <c r="F32" s="15" t="s">
        <v>223</v>
      </c>
      <c r="G32" s="21" t="s">
        <v>220</v>
      </c>
      <c r="H32" s="16" t="s">
        <v>220</v>
      </c>
      <c r="I32" s="15" t="s">
        <v>220</v>
      </c>
      <c r="J32" s="16" t="s">
        <v>220</v>
      </c>
      <c r="K32" s="16" t="s">
        <v>220</v>
      </c>
      <c r="L32" s="17" t="s">
        <v>220</v>
      </c>
      <c r="M32" s="16" t="s">
        <v>220</v>
      </c>
      <c r="N32" s="16" t="s">
        <v>236</v>
      </c>
      <c r="O32" s="18">
        <v>45919</v>
      </c>
      <c r="P32" s="19"/>
      <c r="Q32" s="20"/>
      <c r="R32" s="20"/>
      <c r="S32" s="20"/>
      <c r="T32" s="20"/>
      <c r="U32" s="20"/>
      <c r="V32" s="15"/>
      <c r="W32" s="15"/>
      <c r="X32" s="20">
        <f>HE0499L3!G23</f>
        <v>1584.19</v>
      </c>
      <c r="Y32" s="20"/>
      <c r="Z32" s="31">
        <f t="shared" si="1"/>
        <v>1584.19</v>
      </c>
      <c r="AA32" s="15" t="s">
        <v>218</v>
      </c>
    </row>
    <row r="33" spans="3:27" ht="16.5" thickTop="1" thickBot="1">
      <c r="C33" s="28"/>
      <c r="D33" s="22"/>
      <c r="E33" s="14"/>
      <c r="F33" s="15"/>
      <c r="G33" s="21"/>
      <c r="H33" s="16"/>
      <c r="I33" s="15"/>
      <c r="J33" s="16"/>
      <c r="K33" s="16"/>
      <c r="L33" s="17"/>
      <c r="M33" s="16"/>
      <c r="N33" s="16"/>
      <c r="O33" s="18"/>
      <c r="P33" s="19"/>
      <c r="Q33" s="20"/>
      <c r="R33" s="20"/>
      <c r="S33" s="15"/>
      <c r="T33" s="15"/>
      <c r="U33" s="15"/>
      <c r="V33" s="15"/>
      <c r="W33" s="15"/>
      <c r="X33" s="15"/>
      <c r="Y33" s="15"/>
      <c r="Z33" s="31">
        <f t="shared" si="1"/>
        <v>0</v>
      </c>
      <c r="AA33" s="15"/>
    </row>
    <row r="34" spans="3:27" ht="17.25" thickTop="1" thickBot="1">
      <c r="C34" s="79" t="s">
        <v>42</v>
      </c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1"/>
      <c r="Z34" s="30">
        <f>SUM(Z5:Z33)</f>
        <v>21402.203526208301</v>
      </c>
    </row>
    <row r="35" spans="3:27" ht="15.75" thickTop="1">
      <c r="Z35" s="35"/>
    </row>
    <row r="37" spans="3:27">
      <c r="R37" s="29"/>
    </row>
    <row r="38" spans="3:27">
      <c r="R38" s="29"/>
    </row>
    <row r="39" spans="3:27">
      <c r="O39" s="24"/>
      <c r="Q39" s="29"/>
      <c r="Y39" s="36"/>
      <c r="Z39" s="23"/>
      <c r="AA39" s="5"/>
    </row>
    <row r="40" spans="3:27">
      <c r="O40" s="24"/>
      <c r="Q40" s="29"/>
      <c r="Y40" s="36"/>
      <c r="Z40" s="23"/>
      <c r="AA40" s="5"/>
    </row>
    <row r="41" spans="3:27">
      <c r="O41" s="24"/>
      <c r="Q41" s="29"/>
      <c r="Y41" s="36"/>
      <c r="Z41" s="23"/>
      <c r="AA41" s="5"/>
    </row>
    <row r="43" spans="3:27">
      <c r="K43" s="29"/>
    </row>
    <row r="44" spans="3:27">
      <c r="K44" s="29"/>
    </row>
    <row r="45" spans="3:27">
      <c r="K45" s="29"/>
    </row>
    <row r="46" spans="3:27">
      <c r="K46" s="29"/>
    </row>
    <row r="47" spans="3:27">
      <c r="K47" s="29"/>
    </row>
    <row r="48" spans="3:27">
      <c r="K48" s="29"/>
    </row>
    <row r="49" spans="11:11">
      <c r="K49" s="29"/>
    </row>
    <row r="50" spans="11:11">
      <c r="K50" s="29"/>
    </row>
    <row r="51" spans="11:11">
      <c r="K51" s="29"/>
    </row>
    <row r="52" spans="11:11">
      <c r="K52" s="29"/>
    </row>
    <row r="53" spans="11:11">
      <c r="K53" s="29"/>
    </row>
    <row r="54" spans="11:11">
      <c r="K54" s="29"/>
    </row>
    <row r="55" spans="11:11">
      <c r="K55" s="29"/>
    </row>
    <row r="56" spans="11:11">
      <c r="K56" s="29"/>
    </row>
    <row r="57" spans="11:11">
      <c r="K57" s="29"/>
    </row>
    <row r="58" spans="11:11">
      <c r="K58" s="29"/>
    </row>
    <row r="59" spans="11:11">
      <c r="K59" s="29"/>
    </row>
    <row r="60" spans="11:11">
      <c r="K60" s="29"/>
    </row>
    <row r="61" spans="11:11">
      <c r="K61" s="29"/>
    </row>
    <row r="62" spans="11:11">
      <c r="K62" s="29"/>
    </row>
    <row r="63" spans="11:11">
      <c r="K63" s="29"/>
    </row>
  </sheetData>
  <protectedRanges>
    <protectedRange sqref="O33" name="NORMAL USERS_21_2"/>
  </protectedRanges>
  <autoFilter ref="C4:AA34" xr:uid="{C076F0DB-DD76-4957-B00F-615AEBF20F2D}"/>
  <mergeCells count="4">
    <mergeCell ref="P3:U3"/>
    <mergeCell ref="V3:Z3"/>
    <mergeCell ref="C34:Y34"/>
    <mergeCell ref="C2:AA2"/>
  </mergeCells>
  <phoneticPr fontId="3" type="noConversion"/>
  <conditionalFormatting sqref="E1 E3 E5:E1048576">
    <cfRule type="duplicateValues" dxfId="2" priority="102"/>
  </conditionalFormatting>
  <conditionalFormatting sqref="D5:D33">
    <cfRule type="duplicateValues" dxfId="1" priority="110"/>
    <cfRule type="duplicateValues" dxfId="0" priority="111"/>
  </conditionalFormatting>
  <hyperlinks>
    <hyperlink ref="D5" location="'SCT0126'!A1" display="HVDC-ADOPT-SCT-0126" xr:uid="{CB29C818-E467-4091-96C7-61879DF53C88}"/>
    <hyperlink ref="D8" location="'SCT0122'!A1" display="HVDC-ADOPT-SCT-0122" xr:uid="{4C3379F0-CAC6-416C-B3E5-C8C5FE019DC4}"/>
    <hyperlink ref="D7" location="'SCT0038'!A1" display="HVDC-ADOPT-SCT-0038" xr:uid="{0908FA35-D2D8-4CF0-99B0-29468E31F42E}"/>
    <hyperlink ref="D9" location="'SCT0131'!A1" display="HVDC-ADOPT-SCT-0131" xr:uid="{91A00168-13AD-42ED-A137-5AD4F1D7A0EE}"/>
    <hyperlink ref="D10" location="'SCT0123,0124'!A1" display="HVDC-ADOPT-SCT-0123, 0124" xr:uid="{A8C5A7FC-103B-4EF3-9731-917BA4396359}"/>
    <hyperlink ref="D11" location="'SCT0134'!A1" display="HVDC-ADOPT-SCT-0134" xr:uid="{F284377B-8BCC-48D5-8D8A-61631E81812B}"/>
    <hyperlink ref="D6" location="'SCT0127'!A1" display="HVDC-ADOPT-SCT-0127" xr:uid="{B9E82A70-05C2-4EA6-873C-10719EB5D584}"/>
    <hyperlink ref="D12" location="'HE0471'!A1" display="HVDC-ADOPT-HE-0471" xr:uid="{71DD0D0A-F74E-4207-8FFC-D4293608E294}"/>
    <hyperlink ref="D13" location="'HE0472'!A1" display="HVDC-ADOPT-HE-0472" xr:uid="{C8131152-670D-4FCB-B91B-6012C878C8D3}"/>
    <hyperlink ref="D14" location="'HE0473'!A1" display="HVDC-ADOPT-HE-0473" xr:uid="{BD70FA2A-5C5C-48ED-8261-DA63FFAB59B0}"/>
    <hyperlink ref="D15" location="'HE0450,0459,0460'!A1" display="HVDC-ADOPT-HE-0450, 0459, 0460" xr:uid="{FB6BDB1E-CEA2-41A3-8BBA-91C0A863FD02}"/>
    <hyperlink ref="D16" location="'HE0466,0467,0468'!A1" display="HVDC-ADOPT-HE-0466, 0467, 0468" xr:uid="{A7B87E86-22D9-47A9-B72D-1BEBCD4FBA07}"/>
    <hyperlink ref="D17" location="'HE0464,0465,0470'!A1" display="HVDC-ADOPT-HE-0464,0465,0470" xr:uid="{C61D5873-1778-46B5-B329-EDDA866B652F}"/>
    <hyperlink ref="D18" location="'HE0437,0438-2,0439-2,0440-1,044'!A1" display="HVDC-ADOPT-HE-0437,0438-2,0439-2,0440-2,0441-1" xr:uid="{394E49C4-51D3-4CC4-B4F7-D24D754238C3}"/>
    <hyperlink ref="D19" location="'HE0487'!A1" display="HVDC-ADOPT-HE-0487" xr:uid="{3B06FB54-F06F-46AD-94C1-8B713A2F914A}"/>
    <hyperlink ref="D20" location="'HE0438-0454'!A1" display="HVDC-ADOPT-HE-0438, 0439, 0440-1, 0441, 0482, 0454" xr:uid="{476035CF-5799-449C-A181-BA8C443421BA}"/>
    <hyperlink ref="D21" location="'HE0425,0426,0427,0428'!A1" display="HVDC-ADOPT-HE-0425, 0426, 0427, 0428" xr:uid="{5932D708-C803-41AD-8B1F-7AB22C70DAA2}"/>
    <hyperlink ref="D22" location="'HE0475'!A1" display="HVDC-ADOPT-HE-0475" xr:uid="{98E59229-B562-4A71-9BB4-728ED4A5DE9D}"/>
    <hyperlink ref="D23" location="'HE0497'!A1" display="HVDC-ADOPT-HE-0497" xr:uid="{074E084F-CBFD-4DB0-8F16-EABC8BDE236B}"/>
    <hyperlink ref="D24" location="'HE0500'!A1" display="HVDC-ADOPT-HE-0500" xr:uid="{ED6B48C7-D62D-4DED-934D-31D946743879}"/>
    <hyperlink ref="D25" location="'HE0488'!A1" display="HVDC-ADOPT-HE-0488" xr:uid="{369D1132-A947-470A-9A84-3D900DB47246}"/>
    <hyperlink ref="D26" location="'HE0495,0496'!A1" display="HVDC-ADOPT-HE-0495, 0496" xr:uid="{38D66266-E535-4F36-BF20-822556D6D36C}"/>
    <hyperlink ref="D27" location="'HE0498'!A1" display="HVDC-ADOPT-HE-0498" xr:uid="{7B470D6C-B9AD-40F5-8971-738FFA24579C}"/>
    <hyperlink ref="D28" location="'HE0501'!A1" display="HVDC-ADOPT-HE-0501" xr:uid="{A644300F-D3F5-4C41-BF6B-B308132B09D6}"/>
    <hyperlink ref="D29" location="'HE0502'!A1" display="HVDC-ADOPT-HE-0502" xr:uid="{70DC98D7-AE86-432A-AFCE-FEE5CA1FD133}"/>
    <hyperlink ref="D30" location="HE0499L1!A1" display="HVDC-ADOPT-HE-0499 (LOT1)" xr:uid="{42731099-9AEC-4D72-83E1-40607CD20F08}"/>
    <hyperlink ref="D31" location="HE0499L2!A1" display="HVDC-ADOPT-HE-0499 (LOT2)" xr:uid="{A7EE8F2B-179E-4587-9865-17B5C9F58790}"/>
    <hyperlink ref="D32" location="HE0499L3!A1" display="HVDC-ADOPT-HE-0499 (LOT3)" xr:uid="{AF3B57C7-CD17-4CA5-A09E-1354382F38D8}"/>
  </hyperlinks>
  <pageMargins left="0.7" right="0.7" top="0.75" bottom="0.75" header="0.3" footer="0.3"/>
  <pageSetup paperSize="9" scale="44" orientation="landscape" r:id="rId1"/>
  <headerFooter>
    <oddFooter>&amp;C_x000D_&amp;1#&amp;"Calibri"&amp;10&amp;K000000 DSV internal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9062-A916-488A-9B94-FDD4E9ECAC6C}">
  <sheetPr codeName="Sheet106">
    <tabColor rgb="FF92D050"/>
  </sheetPr>
  <dimension ref="A5:L32"/>
  <sheetViews>
    <sheetView zoomScaleNormal="100" workbookViewId="0">
      <selection activeCell="H13" sqref="H13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6.5" thickTop="1" thickBot="1">
      <c r="B8" s="84" t="s">
        <v>29</v>
      </c>
      <c r="C8" s="84"/>
      <c r="D8" s="84"/>
      <c r="G8" s="38" t="s">
        <v>30</v>
      </c>
      <c r="H8" s="72" t="s">
        <v>57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59</v>
      </c>
    </row>
    <row r="10" spans="2:8" ht="15" thickTop="1" thickBot="1">
      <c r="G10" s="38" t="s">
        <v>33</v>
      </c>
      <c r="H10" s="42" t="s">
        <v>58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thickTop="1" thickBot="1">
      <c r="B15" s="45">
        <v>3</v>
      </c>
      <c r="C15" s="45" t="s">
        <v>0</v>
      </c>
      <c r="D15" s="46" t="s">
        <v>52</v>
      </c>
      <c r="E15" s="47">
        <v>372</v>
      </c>
      <c r="F15" s="48">
        <v>1</v>
      </c>
      <c r="G15" s="49">
        <f t="shared" ref="G15:G25" si="0">E15*F15</f>
        <v>372</v>
      </c>
      <c r="H15" s="46" t="s">
        <v>53</v>
      </c>
    </row>
    <row r="16" spans="2:8" ht="15" thickTop="1" thickBot="1">
      <c r="B16" s="45">
        <v>4</v>
      </c>
      <c r="C16" s="45" t="s">
        <v>0</v>
      </c>
      <c r="D16" s="46" t="s">
        <v>54</v>
      </c>
      <c r="E16" s="47">
        <v>479</v>
      </c>
      <c r="F16" s="48">
        <v>2</v>
      </c>
      <c r="G16" s="49">
        <f t="shared" si="0"/>
        <v>958</v>
      </c>
      <c r="H16" s="46" t="s">
        <v>53</v>
      </c>
    </row>
    <row r="17" spans="1:12" ht="15" thickTop="1" thickBot="1">
      <c r="B17" s="45">
        <v>5</v>
      </c>
      <c r="C17" s="45" t="s">
        <v>0</v>
      </c>
      <c r="D17" s="46" t="s">
        <v>55</v>
      </c>
      <c r="E17" s="47">
        <v>252</v>
      </c>
      <c r="F17" s="48">
        <v>3</v>
      </c>
      <c r="G17" s="49">
        <f t="shared" si="0"/>
        <v>756</v>
      </c>
      <c r="H17" s="46" t="s">
        <v>53</v>
      </c>
      <c r="I17" s="50"/>
      <c r="J17" s="50"/>
      <c r="L17" s="50"/>
    </row>
    <row r="18" spans="1:12" ht="15" thickTop="1" thickBot="1">
      <c r="B18" s="45">
        <v>6</v>
      </c>
      <c r="C18" s="45" t="s">
        <v>0</v>
      </c>
      <c r="D18" s="46" t="s">
        <v>61</v>
      </c>
      <c r="E18" s="47">
        <v>252</v>
      </c>
      <c r="F18" s="48">
        <v>3</v>
      </c>
      <c r="G18" s="49">
        <f t="shared" ref="G18" si="1">E18*F18</f>
        <v>756</v>
      </c>
      <c r="H18" s="46" t="s">
        <v>53</v>
      </c>
      <c r="I18" s="50"/>
      <c r="J18" s="50"/>
      <c r="L18" s="50"/>
    </row>
    <row r="19" spans="1:12" ht="15" thickTop="1" thickBot="1">
      <c r="B19" s="45">
        <v>7</v>
      </c>
      <c r="C19" s="45" t="s">
        <v>43</v>
      </c>
      <c r="D19" s="46" t="s">
        <v>56</v>
      </c>
      <c r="E19" s="47">
        <f>535/3.6725</f>
        <v>145.67733151803949</v>
      </c>
      <c r="F19" s="48">
        <v>1</v>
      </c>
      <c r="G19" s="49">
        <f t="shared" si="0"/>
        <v>145.67733151803949</v>
      </c>
      <c r="H19" s="46" t="s">
        <v>53</v>
      </c>
    </row>
    <row r="20" spans="1:12" s="68" customFormat="1" ht="15" thickTop="1" thickBot="1">
      <c r="B20" s="19">
        <v>8</v>
      </c>
      <c r="C20" s="19" t="s">
        <v>43</v>
      </c>
      <c r="D20" s="54" t="s">
        <v>128</v>
      </c>
      <c r="E20" s="69">
        <f>25/3.6725</f>
        <v>6.8073519400953035</v>
      </c>
      <c r="F20" s="70">
        <v>3</v>
      </c>
      <c r="G20" s="71">
        <f t="shared" si="0"/>
        <v>20.422055820285912</v>
      </c>
      <c r="H20" s="46" t="s">
        <v>53</v>
      </c>
    </row>
    <row r="21" spans="1:12" ht="15" hidden="1" thickTop="1" thickBot="1">
      <c r="B21" s="45"/>
      <c r="C21" s="45"/>
      <c r="D21" s="46" t="s">
        <v>45</v>
      </c>
      <c r="E21" s="47"/>
      <c r="F21" s="48"/>
      <c r="G21" s="49">
        <f t="shared" si="0"/>
        <v>0</v>
      </c>
      <c r="H21" s="46"/>
    </row>
    <row r="22" spans="1:12" ht="15" hidden="1" thickTop="1" thickBot="1">
      <c r="B22" s="45"/>
      <c r="C22" s="45"/>
      <c r="D22" s="46"/>
      <c r="E22" s="47"/>
      <c r="F22" s="48"/>
      <c r="G22" s="49">
        <f t="shared" si="0"/>
        <v>0</v>
      </c>
      <c r="H22" s="46"/>
    </row>
    <row r="23" spans="1:12" ht="15" hidden="1" thickTop="1" thickBot="1">
      <c r="B23" s="45"/>
      <c r="C23" s="45"/>
      <c r="D23" s="46"/>
      <c r="E23" s="47"/>
      <c r="F23" s="48"/>
      <c r="G23" s="49">
        <f t="shared" si="0"/>
        <v>0</v>
      </c>
      <c r="H23" s="46"/>
    </row>
    <row r="24" spans="1:12" ht="15" hidden="1" thickTop="1" thickBot="1">
      <c r="B24" s="45"/>
      <c r="C24" s="45"/>
      <c r="D24" s="46"/>
      <c r="E24" s="47"/>
      <c r="F24" s="48"/>
      <c r="G24" s="49">
        <f t="shared" si="0"/>
        <v>0</v>
      </c>
      <c r="H24" s="46"/>
    </row>
    <row r="25" spans="1:12" ht="15" hidden="1" thickTop="1" thickBot="1">
      <c r="B25" s="45"/>
      <c r="C25" s="45"/>
      <c r="D25" s="46"/>
      <c r="E25" s="47"/>
      <c r="F25" s="48"/>
      <c r="G25" s="49">
        <f t="shared" si="0"/>
        <v>0</v>
      </c>
      <c r="H25" s="46"/>
    </row>
    <row r="26" spans="1:12" s="55" customFormat="1" ht="15" thickTop="1" thickBot="1">
      <c r="A26" s="37"/>
      <c r="B26" s="51"/>
      <c r="C26" s="51"/>
      <c r="D26" s="52"/>
      <c r="E26" s="53"/>
      <c r="F26" s="51"/>
      <c r="G26" s="49"/>
      <c r="H26" s="54"/>
    </row>
    <row r="27" spans="1:12" ht="15" thickTop="1" thickBot="1">
      <c r="B27" s="85" t="s">
        <v>40</v>
      </c>
      <c r="C27" s="85"/>
      <c r="D27" s="85"/>
      <c r="E27" s="85"/>
      <c r="F27" s="85"/>
      <c r="G27" s="56">
        <f>SUM(G13:G26)</f>
        <v>3308.0993873383254</v>
      </c>
    </row>
    <row r="28" spans="1:12" ht="14.25" thickTop="1"/>
    <row r="29" spans="1:12">
      <c r="F29" s="37" t="s">
        <v>41</v>
      </c>
      <c r="G29" s="50">
        <f>G27*3.6725</f>
        <v>12148.994999999999</v>
      </c>
    </row>
    <row r="32" spans="1:12">
      <c r="H32" s="58"/>
    </row>
  </sheetData>
  <mergeCells count="4">
    <mergeCell ref="B7:D7"/>
    <mergeCell ref="B8:D8"/>
    <mergeCell ref="B9:D9"/>
    <mergeCell ref="B27:F27"/>
  </mergeCells>
  <hyperlinks>
    <hyperlink ref="H8" location="SEPT!A1" display="BAMF0017659" xr:uid="{52E00380-FE3D-4563-87B0-67D3DF0DD0E3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3BC6-2859-48D1-9AB7-44E57F37624B}">
  <sheetPr codeName="Sheet121">
    <tabColor rgb="FF92D050"/>
  </sheetPr>
  <dimension ref="A5:L29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6.5" thickTop="1" thickBot="1">
      <c r="B8" s="84" t="s">
        <v>29</v>
      </c>
      <c r="C8" s="84"/>
      <c r="D8" s="84"/>
      <c r="G8" s="38" t="s">
        <v>30</v>
      </c>
      <c r="H8" s="72" t="s">
        <v>137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135</v>
      </c>
    </row>
    <row r="10" spans="2:8" ht="15" thickTop="1" thickBot="1">
      <c r="G10" s="38" t="s">
        <v>33</v>
      </c>
      <c r="H10" s="42" t="s">
        <v>136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thickTop="1" thickBot="1">
      <c r="B15" s="45">
        <v>3</v>
      </c>
      <c r="C15" s="45" t="s">
        <v>0</v>
      </c>
      <c r="D15" s="46" t="s">
        <v>52</v>
      </c>
      <c r="E15" s="47">
        <v>372</v>
      </c>
      <c r="F15" s="48">
        <v>1</v>
      </c>
      <c r="G15" s="49">
        <f t="shared" ref="G15:G25" si="0">E15*F15</f>
        <v>372</v>
      </c>
      <c r="H15" s="46" t="s">
        <v>53</v>
      </c>
    </row>
    <row r="16" spans="2:8" ht="15" thickTop="1" thickBot="1">
      <c r="B16" s="45">
        <v>4</v>
      </c>
      <c r="C16" s="45" t="s">
        <v>0</v>
      </c>
      <c r="D16" s="46" t="s">
        <v>67</v>
      </c>
      <c r="E16" s="47">
        <v>252</v>
      </c>
      <c r="F16" s="48">
        <v>1</v>
      </c>
      <c r="G16" s="49">
        <f t="shared" si="0"/>
        <v>252</v>
      </c>
      <c r="H16" s="46" t="s">
        <v>53</v>
      </c>
    </row>
    <row r="17" spans="1:12" ht="15" thickTop="1" thickBot="1">
      <c r="B17" s="45">
        <v>5</v>
      </c>
      <c r="C17" s="45" t="s">
        <v>43</v>
      </c>
      <c r="D17" s="46" t="s">
        <v>140</v>
      </c>
      <c r="E17" s="47">
        <v>10</v>
      </c>
      <c r="F17" s="48">
        <v>1</v>
      </c>
      <c r="G17" s="49">
        <f t="shared" si="0"/>
        <v>10</v>
      </c>
      <c r="H17" s="46" t="s">
        <v>53</v>
      </c>
      <c r="I17" s="50"/>
      <c r="J17" s="50"/>
      <c r="L17" s="50"/>
    </row>
    <row r="18" spans="1:12" ht="15" thickTop="1" thickBot="1">
      <c r="B18" s="45">
        <v>6</v>
      </c>
      <c r="C18" s="45" t="s">
        <v>43</v>
      </c>
      <c r="D18" s="46" t="s">
        <v>141</v>
      </c>
      <c r="E18" s="47">
        <f>175/3.6725</f>
        <v>47.651463580667119</v>
      </c>
      <c r="F18" s="48">
        <v>1</v>
      </c>
      <c r="G18" s="49">
        <f t="shared" si="0"/>
        <v>47.651463580667119</v>
      </c>
      <c r="H18" s="46" t="s">
        <v>53</v>
      </c>
      <c r="I18" s="50"/>
      <c r="J18" s="50"/>
      <c r="L18" s="50"/>
    </row>
    <row r="19" spans="1:12" ht="15" thickTop="1" thickBot="1">
      <c r="B19" s="45">
        <v>7</v>
      </c>
      <c r="C19" s="45" t="s">
        <v>43</v>
      </c>
      <c r="D19" s="46" t="s">
        <v>142</v>
      </c>
      <c r="E19" s="47">
        <f>30/3.6725</f>
        <v>8.1688223281143646</v>
      </c>
      <c r="F19" s="48">
        <v>1</v>
      </c>
      <c r="G19" s="49">
        <f t="shared" si="0"/>
        <v>8.1688223281143646</v>
      </c>
      <c r="H19" s="46" t="s">
        <v>53</v>
      </c>
    </row>
    <row r="20" spans="1:12" s="68" customFormat="1" ht="15" thickTop="1" thickBot="1">
      <c r="B20" s="19"/>
      <c r="C20" s="19"/>
      <c r="D20" s="54"/>
      <c r="E20" s="69"/>
      <c r="F20" s="48"/>
      <c r="G20" s="71">
        <f t="shared" si="0"/>
        <v>0</v>
      </c>
      <c r="H20" s="46"/>
    </row>
    <row r="21" spans="1:12" ht="15" hidden="1" thickTop="1" thickBot="1">
      <c r="B21" s="45"/>
      <c r="C21" s="45"/>
      <c r="D21" s="46" t="s">
        <v>45</v>
      </c>
      <c r="E21" s="47"/>
      <c r="F21" s="48"/>
      <c r="G21" s="49">
        <f t="shared" si="0"/>
        <v>0</v>
      </c>
      <c r="H21" s="46"/>
    </row>
    <row r="22" spans="1:12" ht="15" hidden="1" thickTop="1" thickBot="1">
      <c r="B22" s="45"/>
      <c r="C22" s="45"/>
      <c r="D22" s="46"/>
      <c r="E22" s="47"/>
      <c r="F22" s="48"/>
      <c r="G22" s="49">
        <f t="shared" si="0"/>
        <v>0</v>
      </c>
      <c r="H22" s="46"/>
    </row>
    <row r="23" spans="1:12" ht="15" hidden="1" thickTop="1" thickBot="1">
      <c r="B23" s="45"/>
      <c r="C23" s="45"/>
      <c r="D23" s="46"/>
      <c r="E23" s="47"/>
      <c r="F23" s="48"/>
      <c r="G23" s="49">
        <f t="shared" si="0"/>
        <v>0</v>
      </c>
      <c r="H23" s="46"/>
    </row>
    <row r="24" spans="1:12" ht="15" hidden="1" thickTop="1" thickBot="1">
      <c r="B24" s="45"/>
      <c r="C24" s="45"/>
      <c r="D24" s="46"/>
      <c r="E24" s="47"/>
      <c r="F24" s="48"/>
      <c r="G24" s="49">
        <f t="shared" si="0"/>
        <v>0</v>
      </c>
      <c r="H24" s="46"/>
    </row>
    <row r="25" spans="1:12" ht="15" hidden="1" thickTop="1" thickBot="1">
      <c r="B25" s="45"/>
      <c r="C25" s="45"/>
      <c r="D25" s="46"/>
      <c r="E25" s="47"/>
      <c r="F25" s="48"/>
      <c r="G25" s="49">
        <f t="shared" si="0"/>
        <v>0</v>
      </c>
      <c r="H25" s="46"/>
    </row>
    <row r="26" spans="1:12" s="55" customFormat="1" ht="15" thickTop="1" thickBot="1">
      <c r="A26" s="37"/>
      <c r="B26" s="51"/>
      <c r="C26" s="51"/>
      <c r="D26" s="52"/>
      <c r="E26" s="53"/>
      <c r="F26" s="51"/>
      <c r="G26" s="49"/>
      <c r="H26" s="54"/>
    </row>
    <row r="27" spans="1:12" ht="15" thickTop="1" thickBot="1">
      <c r="B27" s="85" t="s">
        <v>40</v>
      </c>
      <c r="C27" s="85"/>
      <c r="D27" s="85"/>
      <c r="E27" s="85"/>
      <c r="F27" s="85"/>
      <c r="G27" s="56">
        <f>SUM(G13:G26)</f>
        <v>989.82028590878156</v>
      </c>
    </row>
    <row r="28" spans="1:12" ht="14.25" thickTop="1"/>
    <row r="29" spans="1:12">
      <c r="F29" s="37" t="s">
        <v>41</v>
      </c>
      <c r="G29" s="50">
        <f>G27*3.6725</f>
        <v>3635.1150000000002</v>
      </c>
    </row>
  </sheetData>
  <mergeCells count="4">
    <mergeCell ref="B7:D7"/>
    <mergeCell ref="B8:D8"/>
    <mergeCell ref="B9:D9"/>
    <mergeCell ref="B27:F27"/>
  </mergeCells>
  <hyperlinks>
    <hyperlink ref="H8" location="SEPT!A1" display="BAMF0017850" xr:uid="{731C7276-E195-445B-B806-7A1BBBDA9C75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296E-DC69-42D4-A4C7-9A22B24B3D5E}">
  <sheetPr codeName="Sheet119">
    <tabColor rgb="FF92D050"/>
  </sheetPr>
  <dimension ref="A5:H23"/>
  <sheetViews>
    <sheetView zoomScaleNormal="100" workbookViewId="0">
      <selection activeCell="E14" sqref="E14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53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127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117</v>
      </c>
    </row>
    <row r="10" spans="2:8" ht="15" thickTop="1" thickBot="1">
      <c r="G10" s="38" t="s">
        <v>33</v>
      </c>
      <c r="H10" s="42" t="s">
        <v>118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119</v>
      </c>
      <c r="E13" s="47">
        <f>80/3.6725</f>
        <v>21.78352620830497</v>
      </c>
      <c r="F13" s="48">
        <v>1</v>
      </c>
      <c r="G13" s="49">
        <f>E13*F13</f>
        <v>21.78352620830497</v>
      </c>
      <c r="H13" s="46" t="s">
        <v>53</v>
      </c>
    </row>
    <row r="14" spans="2:8" ht="15" thickTop="1" thickBot="1">
      <c r="B14" s="45"/>
      <c r="C14" s="45"/>
      <c r="D14" s="46"/>
      <c r="E14" s="47"/>
      <c r="F14" s="48"/>
      <c r="G14" s="49">
        <f t="shared" ref="G14:G19" si="0">E14*F14</f>
        <v>0</v>
      </c>
      <c r="H14" s="46"/>
    </row>
    <row r="15" spans="2:8" ht="15" hidden="1" thickTop="1" thickBot="1">
      <c r="B15" s="45"/>
      <c r="C15" s="45"/>
      <c r="D15" s="46" t="s">
        <v>45</v>
      </c>
      <c r="E15" s="47"/>
      <c r="F15" s="48"/>
      <c r="G15" s="49">
        <f t="shared" si="0"/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ht="15" hidden="1" thickTop="1" thickBot="1">
      <c r="B19" s="45"/>
      <c r="C19" s="45"/>
      <c r="D19" s="46"/>
      <c r="E19" s="47"/>
      <c r="F19" s="48"/>
      <c r="G19" s="49">
        <f t="shared" si="0"/>
        <v>0</v>
      </c>
      <c r="H19" s="46"/>
    </row>
    <row r="20" spans="1:8" s="55" customFormat="1" ht="15" thickTop="1" thickBot="1">
      <c r="A20" s="37"/>
      <c r="B20" s="51"/>
      <c r="C20" s="51"/>
      <c r="D20" s="52"/>
      <c r="E20" s="53"/>
      <c r="F20" s="51"/>
      <c r="G20" s="49"/>
      <c r="H20" s="54"/>
    </row>
    <row r="21" spans="1:8" ht="15" thickTop="1" thickBot="1">
      <c r="B21" s="85" t="s">
        <v>40</v>
      </c>
      <c r="C21" s="85"/>
      <c r="D21" s="85"/>
      <c r="E21" s="85"/>
      <c r="F21" s="85"/>
      <c r="G21" s="56">
        <f>SUM(G13:G20)</f>
        <v>21.78352620830497</v>
      </c>
    </row>
    <row r="22" spans="1:8" ht="14.25" thickTop="1"/>
    <row r="23" spans="1:8">
      <c r="F23" s="37" t="s">
        <v>41</v>
      </c>
      <c r="G23" s="50">
        <f>G21*3.6725</f>
        <v>80</v>
      </c>
    </row>
  </sheetData>
  <mergeCells count="4">
    <mergeCell ref="B7:D7"/>
    <mergeCell ref="B8:D8"/>
    <mergeCell ref="B9:D9"/>
    <mergeCell ref="B21:F21"/>
  </mergeCell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C1C87-7168-4D93-8B73-715A5CB370E3}">
  <sheetPr codeName="Sheet107">
    <tabColor rgb="FF92D050"/>
  </sheetPr>
  <dimension ref="A5:L32"/>
  <sheetViews>
    <sheetView zoomScaleNormal="100" workbookViewId="0">
      <selection activeCell="A20" sqref="A20:XFD20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64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63</v>
      </c>
    </row>
    <row r="10" spans="2:8" ht="15" thickTop="1" thickBot="1">
      <c r="G10" s="38" t="s">
        <v>33</v>
      </c>
      <c r="H10" s="42" t="s">
        <v>65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thickTop="1" thickBot="1">
      <c r="B15" s="45">
        <v>3</v>
      </c>
      <c r="C15" s="45" t="s">
        <v>0</v>
      </c>
      <c r="D15" s="46" t="s">
        <v>52</v>
      </c>
      <c r="E15" s="47">
        <v>372</v>
      </c>
      <c r="F15" s="48">
        <v>1</v>
      </c>
      <c r="G15" s="49">
        <f t="shared" ref="G15:G25" si="0">E15*F15</f>
        <v>372</v>
      </c>
      <c r="H15" s="46" t="s">
        <v>53</v>
      </c>
    </row>
    <row r="16" spans="2:8" ht="15" thickTop="1" thickBot="1">
      <c r="B16" s="45">
        <v>4</v>
      </c>
      <c r="C16" s="45" t="s">
        <v>0</v>
      </c>
      <c r="D16" s="46" t="s">
        <v>67</v>
      </c>
      <c r="E16" s="47">
        <v>252</v>
      </c>
      <c r="F16" s="48">
        <v>1</v>
      </c>
      <c r="G16" s="49">
        <f t="shared" si="0"/>
        <v>252</v>
      </c>
      <c r="H16" s="46" t="s">
        <v>53</v>
      </c>
    </row>
    <row r="17" spans="1:12" ht="15" thickTop="1" thickBot="1">
      <c r="B17" s="45">
        <v>5</v>
      </c>
      <c r="C17" s="45" t="s">
        <v>43</v>
      </c>
      <c r="D17" s="46" t="s">
        <v>68</v>
      </c>
      <c r="E17" s="47">
        <f>150/3.6725</f>
        <v>40.844111640571818</v>
      </c>
      <c r="F17" s="48">
        <v>1</v>
      </c>
      <c r="G17" s="49">
        <f t="shared" si="0"/>
        <v>40.844111640571818</v>
      </c>
      <c r="H17" s="46" t="s">
        <v>53</v>
      </c>
      <c r="I17" s="50"/>
      <c r="J17" s="50"/>
      <c r="L17" s="50"/>
    </row>
    <row r="18" spans="1:12" ht="15" thickTop="1" thickBot="1">
      <c r="B18" s="45">
        <v>6</v>
      </c>
      <c r="C18" s="45" t="s">
        <v>43</v>
      </c>
      <c r="D18" s="46" t="s">
        <v>131</v>
      </c>
      <c r="E18" s="47">
        <f>30/3.6725</f>
        <v>8.1688223281143646</v>
      </c>
      <c r="F18" s="48">
        <v>1</v>
      </c>
      <c r="G18" s="49">
        <f t="shared" si="0"/>
        <v>8.1688223281143646</v>
      </c>
      <c r="H18" s="46" t="s">
        <v>53</v>
      </c>
      <c r="I18" s="50"/>
      <c r="J18" s="50"/>
      <c r="L18" s="50"/>
    </row>
    <row r="19" spans="1:12" s="68" customFormat="1" ht="15" thickTop="1" thickBot="1">
      <c r="B19" s="19">
        <v>7</v>
      </c>
      <c r="C19" s="45" t="s">
        <v>43</v>
      </c>
      <c r="D19" s="54" t="s">
        <v>132</v>
      </c>
      <c r="E19" s="69">
        <f>(25+55)/3.6725</f>
        <v>21.78352620830497</v>
      </c>
      <c r="F19" s="70">
        <v>1</v>
      </c>
      <c r="G19" s="71">
        <f t="shared" si="0"/>
        <v>21.78352620830497</v>
      </c>
      <c r="H19" s="46" t="s">
        <v>53</v>
      </c>
    </row>
    <row r="20" spans="1:12" ht="15" thickTop="1" thickBot="1">
      <c r="B20" s="45"/>
      <c r="C20" s="45"/>
      <c r="D20" s="46"/>
      <c r="E20" s="47"/>
      <c r="F20" s="48"/>
      <c r="G20" s="49">
        <f t="shared" si="0"/>
        <v>0</v>
      </c>
      <c r="H20" s="46"/>
    </row>
    <row r="21" spans="1:12" ht="15" hidden="1" thickTop="1" thickBot="1">
      <c r="B21" s="45"/>
      <c r="C21" s="45"/>
      <c r="D21" s="46" t="s">
        <v>45</v>
      </c>
      <c r="E21" s="47"/>
      <c r="F21" s="48"/>
      <c r="G21" s="49">
        <f t="shared" si="0"/>
        <v>0</v>
      </c>
      <c r="H21" s="46"/>
    </row>
    <row r="22" spans="1:12" ht="15" hidden="1" thickTop="1" thickBot="1">
      <c r="B22" s="45"/>
      <c r="C22" s="45"/>
      <c r="D22" s="46"/>
      <c r="E22" s="47"/>
      <c r="F22" s="48"/>
      <c r="G22" s="49">
        <f t="shared" si="0"/>
        <v>0</v>
      </c>
      <c r="H22" s="46"/>
    </row>
    <row r="23" spans="1:12" ht="15" hidden="1" thickTop="1" thickBot="1">
      <c r="B23" s="45"/>
      <c r="C23" s="45"/>
      <c r="D23" s="46"/>
      <c r="E23" s="47"/>
      <c r="F23" s="48"/>
      <c r="G23" s="49">
        <f t="shared" si="0"/>
        <v>0</v>
      </c>
      <c r="H23" s="46"/>
    </row>
    <row r="24" spans="1:12" ht="15" hidden="1" thickTop="1" thickBot="1">
      <c r="B24" s="45"/>
      <c r="C24" s="45"/>
      <c r="D24" s="46"/>
      <c r="E24" s="47"/>
      <c r="F24" s="48"/>
      <c r="G24" s="49">
        <f t="shared" si="0"/>
        <v>0</v>
      </c>
      <c r="H24" s="46"/>
    </row>
    <row r="25" spans="1:12" ht="15" hidden="1" thickTop="1" thickBot="1">
      <c r="B25" s="45"/>
      <c r="C25" s="45"/>
      <c r="D25" s="46"/>
      <c r="E25" s="47"/>
      <c r="F25" s="48"/>
      <c r="G25" s="49">
        <f t="shared" si="0"/>
        <v>0</v>
      </c>
      <c r="H25" s="46"/>
    </row>
    <row r="26" spans="1:12" s="55" customFormat="1" ht="15" thickTop="1" thickBot="1">
      <c r="A26" s="37"/>
      <c r="B26" s="51"/>
      <c r="C26" s="51"/>
      <c r="D26" s="52"/>
      <c r="E26" s="53"/>
      <c r="F26" s="51"/>
      <c r="G26" s="49"/>
      <c r="H26" s="54"/>
    </row>
    <row r="27" spans="1:12" ht="15" thickTop="1" thickBot="1">
      <c r="B27" s="85" t="s">
        <v>40</v>
      </c>
      <c r="C27" s="85"/>
      <c r="D27" s="85"/>
      <c r="E27" s="85"/>
      <c r="F27" s="85"/>
      <c r="G27" s="56">
        <f>SUM(G13:G26)</f>
        <v>994.7964601769911</v>
      </c>
    </row>
    <row r="28" spans="1:12" ht="14.25" thickTop="1"/>
    <row r="29" spans="1:12">
      <c r="F29" s="37" t="s">
        <v>41</v>
      </c>
      <c r="G29" s="50">
        <f>G27*3.6725</f>
        <v>3653.39</v>
      </c>
    </row>
    <row r="32" spans="1:12">
      <c r="H32" s="58"/>
    </row>
  </sheetData>
  <mergeCells count="4">
    <mergeCell ref="B7:D7"/>
    <mergeCell ref="B8:D8"/>
    <mergeCell ref="B9:D9"/>
    <mergeCell ref="B27:F27"/>
  </mergeCells>
  <hyperlinks>
    <hyperlink ref="H8" location="SEPT!A1" display="BAMF0017824" xr:uid="{C614AE4B-3274-408D-A346-A1C729BD82A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5091F-F539-437E-BF28-17FAAF706420}">
  <sheetPr codeName="Sheet108">
    <tabColor rgb="FF92D050"/>
  </sheetPr>
  <dimension ref="A5:L28"/>
  <sheetViews>
    <sheetView zoomScaleNormal="100" workbookViewId="0">
      <selection activeCell="G26" sqref="G26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70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69</v>
      </c>
    </row>
    <row r="10" spans="2:8" ht="15" thickTop="1" thickBot="1">
      <c r="G10" s="38" t="s">
        <v>33</v>
      </c>
      <c r="H10" s="42" t="s">
        <v>72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1</v>
      </c>
      <c r="G13" s="49">
        <f>E13*F13</f>
        <v>80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thickTop="1" thickBot="1">
      <c r="B15" s="45">
        <v>3</v>
      </c>
      <c r="C15" s="45" t="s">
        <v>0</v>
      </c>
      <c r="D15" s="46" t="s">
        <v>76</v>
      </c>
      <c r="E15" s="47">
        <v>0.55000000000000004</v>
      </c>
      <c r="F15" s="48">
        <v>2136</v>
      </c>
      <c r="G15" s="49">
        <f t="shared" ref="G15:G24" si="0">E15*F15</f>
        <v>1174.8000000000002</v>
      </c>
      <c r="H15" s="46" t="s">
        <v>53</v>
      </c>
    </row>
    <row r="16" spans="2:8" ht="15" thickTop="1" thickBot="1">
      <c r="B16" s="45">
        <v>4</v>
      </c>
      <c r="C16" s="45" t="s">
        <v>0</v>
      </c>
      <c r="D16" s="46" t="s">
        <v>77</v>
      </c>
      <c r="E16" s="47">
        <v>200</v>
      </c>
      <c r="F16" s="48">
        <v>1</v>
      </c>
      <c r="G16" s="49">
        <f t="shared" si="0"/>
        <v>200</v>
      </c>
      <c r="H16" s="46" t="s">
        <v>53</v>
      </c>
    </row>
    <row r="17" spans="1:12" ht="15" thickTop="1" thickBot="1">
      <c r="B17" s="45">
        <v>5</v>
      </c>
      <c r="C17" s="45" t="s">
        <v>43</v>
      </c>
      <c r="D17" s="46" t="s">
        <v>78</v>
      </c>
      <c r="E17" s="47">
        <f>27/3.6725</f>
        <v>7.3519400953029272</v>
      </c>
      <c r="F17" s="48">
        <v>1</v>
      </c>
      <c r="G17" s="49">
        <f t="shared" si="0"/>
        <v>7.3519400953029272</v>
      </c>
      <c r="H17" s="46" t="s">
        <v>53</v>
      </c>
      <c r="I17" s="50"/>
      <c r="J17" s="50"/>
      <c r="L17" s="50"/>
    </row>
    <row r="18" spans="1:12" ht="15" thickTop="1" thickBot="1">
      <c r="B18" s="45">
        <v>6</v>
      </c>
      <c r="C18" s="45" t="s">
        <v>43</v>
      </c>
      <c r="D18" s="46" t="s">
        <v>79</v>
      </c>
      <c r="E18" s="47">
        <f>35/3.6725</f>
        <v>9.5302927161334239</v>
      </c>
      <c r="F18" s="48">
        <v>1</v>
      </c>
      <c r="G18" s="49">
        <f t="shared" si="0"/>
        <v>9.5302927161334239</v>
      </c>
      <c r="H18" s="46" t="s">
        <v>53</v>
      </c>
      <c r="I18" s="50"/>
      <c r="J18" s="50"/>
      <c r="L18" s="50"/>
    </row>
    <row r="19" spans="1:12" ht="15" thickTop="1" thickBot="1">
      <c r="B19" s="45"/>
      <c r="C19" s="45"/>
      <c r="D19" s="46"/>
      <c r="E19" s="47"/>
      <c r="F19" s="48"/>
      <c r="G19" s="49">
        <f t="shared" si="0"/>
        <v>0</v>
      </c>
      <c r="H19" s="46"/>
    </row>
    <row r="20" spans="1:12" ht="15" hidden="1" thickTop="1" thickBot="1">
      <c r="B20" s="45"/>
      <c r="C20" s="45"/>
      <c r="D20" s="46" t="s">
        <v>45</v>
      </c>
      <c r="E20" s="47"/>
      <c r="F20" s="48"/>
      <c r="G20" s="49">
        <f t="shared" si="0"/>
        <v>0</v>
      </c>
      <c r="H20" s="46"/>
    </row>
    <row r="21" spans="1:12" ht="15" hidden="1" thickTop="1" thickBot="1">
      <c r="B21" s="45"/>
      <c r="C21" s="45"/>
      <c r="D21" s="46"/>
      <c r="E21" s="47"/>
      <c r="F21" s="48"/>
      <c r="G21" s="49">
        <f t="shared" si="0"/>
        <v>0</v>
      </c>
      <c r="H21" s="46"/>
    </row>
    <row r="22" spans="1:12" ht="15" hidden="1" thickTop="1" thickBot="1">
      <c r="B22" s="45"/>
      <c r="C22" s="45"/>
      <c r="D22" s="46"/>
      <c r="E22" s="47"/>
      <c r="F22" s="48"/>
      <c r="G22" s="49">
        <f t="shared" si="0"/>
        <v>0</v>
      </c>
      <c r="H22" s="46"/>
    </row>
    <row r="23" spans="1:12" ht="15" hidden="1" thickTop="1" thickBot="1">
      <c r="B23" s="45"/>
      <c r="C23" s="45"/>
      <c r="D23" s="46"/>
      <c r="E23" s="47"/>
      <c r="F23" s="48"/>
      <c r="G23" s="49">
        <f t="shared" si="0"/>
        <v>0</v>
      </c>
      <c r="H23" s="46"/>
    </row>
    <row r="24" spans="1:12" ht="15" hidden="1" thickTop="1" thickBot="1">
      <c r="B24" s="45"/>
      <c r="C24" s="45"/>
      <c r="D24" s="46"/>
      <c r="E24" s="47"/>
      <c r="F24" s="48"/>
      <c r="G24" s="49">
        <f t="shared" si="0"/>
        <v>0</v>
      </c>
      <c r="H24" s="46"/>
    </row>
    <row r="25" spans="1:12" s="55" customFormat="1" ht="15" thickTop="1" thickBot="1">
      <c r="A25" s="37"/>
      <c r="B25" s="51"/>
      <c r="C25" s="51"/>
      <c r="D25" s="52"/>
      <c r="E25" s="53"/>
      <c r="F25" s="51"/>
      <c r="G25" s="49"/>
      <c r="H25" s="54"/>
    </row>
    <row r="26" spans="1:12" ht="15" thickTop="1" thickBot="1">
      <c r="B26" s="85" t="s">
        <v>40</v>
      </c>
      <c r="C26" s="85"/>
      <c r="D26" s="85"/>
      <c r="E26" s="85"/>
      <c r="F26" s="85"/>
      <c r="G26" s="56">
        <f>SUM(G13:G25)</f>
        <v>1621.6822328114365</v>
      </c>
    </row>
    <row r="27" spans="1:12" ht="14.25" thickTop="1"/>
    <row r="28" spans="1:12">
      <c r="F28" s="37" t="s">
        <v>41</v>
      </c>
      <c r="G28" s="50">
        <f>G26*3.6725</f>
        <v>5955.6280000000006</v>
      </c>
    </row>
  </sheetData>
  <mergeCells count="4">
    <mergeCell ref="B7:D7"/>
    <mergeCell ref="B8:D8"/>
    <mergeCell ref="B9:D9"/>
    <mergeCell ref="B26:F26"/>
  </mergeCells>
  <hyperlinks>
    <hyperlink ref="H8" location="SEPT!A1" display="BAMF0017824" xr:uid="{77C69166-A470-42BA-BCB8-A2C71F7BD148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4E82D-AA40-4E21-BC97-D0AD23725CCF}">
  <sheetPr codeName="Sheet115">
    <tabColor rgb="FF92D050"/>
  </sheetPr>
  <dimension ref="A5:L30"/>
  <sheetViews>
    <sheetView zoomScaleNormal="100" workbookViewId="0">
      <selection activeCell="F38" sqref="F38"/>
    </sheetView>
  </sheetViews>
  <sheetFormatPr defaultRowHeight="13.5"/>
  <cols>
    <col min="1" max="1" width="9.140625" style="37"/>
    <col min="2" max="2" width="6.7109375" style="37" bestFit="1" customWidth="1"/>
    <col min="3" max="3" width="13.140625" style="37" bestFit="1" customWidth="1"/>
    <col min="4" max="4" width="64.855468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100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98</v>
      </c>
    </row>
    <row r="10" spans="2:8" ht="15" thickTop="1" thickBot="1">
      <c r="G10" s="38" t="s">
        <v>33</v>
      </c>
      <c r="H10" s="42" t="s">
        <v>99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thickTop="1" thickBot="1">
      <c r="B15" s="45">
        <v>3</v>
      </c>
      <c r="C15" s="45" t="s">
        <v>0</v>
      </c>
      <c r="D15" s="46" t="s">
        <v>101</v>
      </c>
      <c r="E15" s="47">
        <v>479</v>
      </c>
      <c r="F15" s="48">
        <v>1</v>
      </c>
      <c r="G15" s="49">
        <f t="shared" ref="G15:G26" si="0">E15*F15</f>
        <v>479</v>
      </c>
      <c r="H15" s="46" t="s">
        <v>53</v>
      </c>
    </row>
    <row r="16" spans="2:8" ht="15" thickTop="1" thickBot="1">
      <c r="B16" s="45">
        <v>4</v>
      </c>
      <c r="C16" s="45" t="s">
        <v>0</v>
      </c>
      <c r="D16" s="46" t="s">
        <v>102</v>
      </c>
      <c r="E16" s="47">
        <v>252</v>
      </c>
      <c r="F16" s="48">
        <v>1</v>
      </c>
      <c r="G16" s="49">
        <f t="shared" si="0"/>
        <v>252</v>
      </c>
      <c r="H16" s="46" t="s">
        <v>53</v>
      </c>
    </row>
    <row r="17" spans="1:12" ht="15" thickTop="1" thickBot="1">
      <c r="B17" s="45">
        <v>5</v>
      </c>
      <c r="C17" s="45" t="s">
        <v>43</v>
      </c>
      <c r="D17" s="46" t="s">
        <v>103</v>
      </c>
      <c r="E17" s="47">
        <f>29.38/3.6725</f>
        <v>8</v>
      </c>
      <c r="F17" s="48">
        <v>1</v>
      </c>
      <c r="G17" s="49">
        <f t="shared" si="0"/>
        <v>8</v>
      </c>
      <c r="H17" s="46" t="s">
        <v>53</v>
      </c>
      <c r="I17" s="50"/>
      <c r="J17" s="50"/>
      <c r="L17" s="50"/>
    </row>
    <row r="18" spans="1:12" ht="15" thickTop="1" thickBot="1">
      <c r="B18" s="45">
        <v>6</v>
      </c>
      <c r="C18" s="45" t="s">
        <v>43</v>
      </c>
      <c r="D18" s="46" t="s">
        <v>104</v>
      </c>
      <c r="E18" s="47">
        <f>130/3.6725</f>
        <v>35.398230088495573</v>
      </c>
      <c r="F18" s="48">
        <v>1</v>
      </c>
      <c r="G18" s="49">
        <f t="shared" si="0"/>
        <v>35.398230088495573</v>
      </c>
      <c r="H18" s="46" t="s">
        <v>53</v>
      </c>
      <c r="I18" s="50"/>
      <c r="J18" s="50"/>
      <c r="L18" s="50"/>
    </row>
    <row r="19" spans="1:12" s="68" customFormat="1" ht="15" thickTop="1" thickBot="1">
      <c r="B19" s="19">
        <v>7</v>
      </c>
      <c r="C19" s="45" t="s">
        <v>43</v>
      </c>
      <c r="D19" s="54" t="s">
        <v>105</v>
      </c>
      <c r="E19" s="69">
        <f>35/3.6725</f>
        <v>9.5302927161334239</v>
      </c>
      <c r="F19" s="70">
        <v>1</v>
      </c>
      <c r="G19" s="71">
        <f t="shared" si="0"/>
        <v>9.5302927161334239</v>
      </c>
      <c r="H19" s="46" t="s">
        <v>53</v>
      </c>
    </row>
    <row r="20" spans="1:12" ht="15" thickTop="1" thickBot="1">
      <c r="B20" s="45">
        <v>8</v>
      </c>
      <c r="C20" s="45" t="s">
        <v>43</v>
      </c>
      <c r="D20" s="46" t="s">
        <v>106</v>
      </c>
      <c r="E20" s="47">
        <f>25/3.6725</f>
        <v>6.8073519400953035</v>
      </c>
      <c r="F20" s="48">
        <v>1</v>
      </c>
      <c r="G20" s="49">
        <f t="shared" si="0"/>
        <v>6.8073519400953035</v>
      </c>
      <c r="H20" s="46" t="s">
        <v>53</v>
      </c>
    </row>
    <row r="21" spans="1:12" ht="15" thickTop="1" thickBot="1">
      <c r="B21" s="45">
        <v>9</v>
      </c>
      <c r="C21" s="45" t="s">
        <v>43</v>
      </c>
      <c r="D21" s="46" t="s">
        <v>107</v>
      </c>
      <c r="E21" s="47">
        <f>80/3.6725</f>
        <v>21.78352620830497</v>
      </c>
      <c r="F21" s="48">
        <v>1</v>
      </c>
      <c r="G21" s="49">
        <f t="shared" si="0"/>
        <v>21.78352620830497</v>
      </c>
      <c r="H21" s="46" t="s">
        <v>53</v>
      </c>
    </row>
    <row r="22" spans="1:12" ht="15" hidden="1" thickTop="1" thickBot="1">
      <c r="B22" s="45"/>
      <c r="C22" s="45"/>
      <c r="D22" s="46" t="s">
        <v>45</v>
      </c>
      <c r="E22" s="47"/>
      <c r="F22" s="48"/>
      <c r="G22" s="49">
        <f t="shared" si="0"/>
        <v>0</v>
      </c>
      <c r="H22" s="46"/>
    </row>
    <row r="23" spans="1:12" ht="15" hidden="1" thickTop="1" thickBot="1">
      <c r="B23" s="45"/>
      <c r="C23" s="45"/>
      <c r="D23" s="46"/>
      <c r="E23" s="47"/>
      <c r="F23" s="48"/>
      <c r="G23" s="49">
        <f t="shared" si="0"/>
        <v>0</v>
      </c>
      <c r="H23" s="46"/>
    </row>
    <row r="24" spans="1:12" ht="15" hidden="1" thickTop="1" thickBot="1">
      <c r="B24" s="45"/>
      <c r="C24" s="45"/>
      <c r="D24" s="46"/>
      <c r="E24" s="47"/>
      <c r="F24" s="48"/>
      <c r="G24" s="49">
        <f t="shared" si="0"/>
        <v>0</v>
      </c>
      <c r="H24" s="46"/>
    </row>
    <row r="25" spans="1:12" ht="15" hidden="1" thickTop="1" thickBot="1">
      <c r="B25" s="45"/>
      <c r="C25" s="45"/>
      <c r="D25" s="46"/>
      <c r="E25" s="47"/>
      <c r="F25" s="48"/>
      <c r="G25" s="49">
        <f t="shared" si="0"/>
        <v>0</v>
      </c>
      <c r="H25" s="46"/>
    </row>
    <row r="26" spans="1:12" ht="15" hidden="1" thickTop="1" thickBot="1">
      <c r="B26" s="45"/>
      <c r="C26" s="45"/>
      <c r="D26" s="46"/>
      <c r="E26" s="47"/>
      <c r="F26" s="48"/>
      <c r="G26" s="49">
        <f t="shared" si="0"/>
        <v>0</v>
      </c>
      <c r="H26" s="46"/>
    </row>
    <row r="27" spans="1:12" s="55" customFormat="1" ht="15" thickTop="1" thickBot="1">
      <c r="A27" s="37"/>
      <c r="B27" s="51"/>
      <c r="C27" s="51"/>
      <c r="D27" s="52"/>
      <c r="E27" s="53"/>
      <c r="F27" s="51"/>
      <c r="G27" s="49"/>
      <c r="H27" s="54"/>
    </row>
    <row r="28" spans="1:12" ht="15" thickTop="1" thickBot="1">
      <c r="B28" s="85" t="s">
        <v>40</v>
      </c>
      <c r="C28" s="85"/>
      <c r="D28" s="85"/>
      <c r="E28" s="85"/>
      <c r="F28" s="85"/>
      <c r="G28" s="56">
        <f>SUM(G13:G27)</f>
        <v>1112.5194009530292</v>
      </c>
    </row>
    <row r="29" spans="1:12" ht="14.25" thickTop="1"/>
    <row r="30" spans="1:12">
      <c r="F30" s="37" t="s">
        <v>41</v>
      </c>
      <c r="G30" s="50">
        <f>G28*3.6725</f>
        <v>4085.7274999999995</v>
      </c>
    </row>
  </sheetData>
  <mergeCells count="4">
    <mergeCell ref="B7:D7"/>
    <mergeCell ref="B8:D8"/>
    <mergeCell ref="B9:D9"/>
    <mergeCell ref="B28:F28"/>
  </mergeCells>
  <hyperlinks>
    <hyperlink ref="H8" location="SEPT!A1" display="BAMF0017824" xr:uid="{4257E00A-CB76-4C53-B8EF-17601AE15FE8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5D28-03EA-481B-A73F-08AAC8F5D404}">
  <sheetPr codeName="Sheet120">
    <tabColor rgb="FF92D050"/>
  </sheetPr>
  <dimension ref="A5:L28"/>
  <sheetViews>
    <sheetView zoomScaleNormal="100" workbookViewId="0">
      <selection activeCell="D39" sqref="D39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126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124</v>
      </c>
    </row>
    <row r="10" spans="2:8" ht="15" thickTop="1" thickBot="1">
      <c r="G10" s="38" t="s">
        <v>33</v>
      </c>
      <c r="H10" s="42" t="s">
        <v>125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1</v>
      </c>
      <c r="G13" s="49">
        <f>E13*F13</f>
        <v>80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thickTop="1" thickBot="1">
      <c r="B15" s="45">
        <v>3</v>
      </c>
      <c r="C15" s="45" t="s">
        <v>0</v>
      </c>
      <c r="D15" s="46" t="s">
        <v>76</v>
      </c>
      <c r="E15" s="47">
        <v>0.55000000000000004</v>
      </c>
      <c r="F15" s="48">
        <v>2178</v>
      </c>
      <c r="G15" s="49">
        <f t="shared" ref="G15:G24" si="0">E15*F15</f>
        <v>1197.9000000000001</v>
      </c>
      <c r="H15" s="46" t="s">
        <v>53</v>
      </c>
    </row>
    <row r="16" spans="2:8" ht="15" thickTop="1" thickBot="1">
      <c r="B16" s="45">
        <v>4</v>
      </c>
      <c r="C16" s="45" t="s">
        <v>0</v>
      </c>
      <c r="D16" s="46" t="s">
        <v>120</v>
      </c>
      <c r="E16" s="47">
        <v>100</v>
      </c>
      <c r="F16" s="48">
        <v>1</v>
      </c>
      <c r="G16" s="49">
        <f t="shared" si="0"/>
        <v>100</v>
      </c>
      <c r="H16" s="46" t="s">
        <v>53</v>
      </c>
    </row>
    <row r="17" spans="1:12" ht="15" thickTop="1" thickBot="1">
      <c r="B17" s="45">
        <v>5</v>
      </c>
      <c r="C17" s="45" t="s">
        <v>0</v>
      </c>
      <c r="D17" s="46" t="s">
        <v>121</v>
      </c>
      <c r="E17" s="47">
        <f>(420/2)+600</f>
        <v>810</v>
      </c>
      <c r="F17" s="48">
        <v>1</v>
      </c>
      <c r="G17" s="49">
        <f t="shared" si="0"/>
        <v>810</v>
      </c>
      <c r="H17" s="46" t="s">
        <v>53</v>
      </c>
    </row>
    <row r="18" spans="1:12" ht="15" thickTop="1" thickBot="1">
      <c r="B18" s="45">
        <v>6</v>
      </c>
      <c r="C18" s="45" t="s">
        <v>43</v>
      </c>
      <c r="D18" s="46" t="s">
        <v>122</v>
      </c>
      <c r="E18" s="47">
        <f>35/3.6725</f>
        <v>9.5302927161334239</v>
      </c>
      <c r="F18" s="48">
        <v>1</v>
      </c>
      <c r="G18" s="49">
        <f>E18*F18</f>
        <v>9.5302927161334239</v>
      </c>
      <c r="H18" s="46" t="s">
        <v>53</v>
      </c>
      <c r="I18" s="50"/>
      <c r="J18" s="50"/>
      <c r="L18" s="50"/>
    </row>
    <row r="19" spans="1:12" ht="15" thickTop="1" thickBot="1">
      <c r="B19" s="45">
        <v>7</v>
      </c>
      <c r="C19" s="45" t="s">
        <v>43</v>
      </c>
      <c r="D19" s="46" t="s">
        <v>123</v>
      </c>
      <c r="E19" s="47">
        <f>27/3.6725</f>
        <v>7.3519400953029272</v>
      </c>
      <c r="F19" s="48">
        <v>1</v>
      </c>
      <c r="G19" s="49">
        <f t="shared" si="0"/>
        <v>7.3519400953029272</v>
      </c>
      <c r="H19" s="46" t="s">
        <v>53</v>
      </c>
      <c r="I19" s="50"/>
      <c r="J19" s="50"/>
      <c r="L19" s="50"/>
    </row>
    <row r="20" spans="1:12" ht="15" hidden="1" thickTop="1" thickBot="1">
      <c r="B20" s="45"/>
      <c r="C20" s="45"/>
      <c r="D20" s="46" t="s">
        <v>45</v>
      </c>
      <c r="E20" s="47"/>
      <c r="F20" s="48"/>
      <c r="G20" s="49">
        <f t="shared" si="0"/>
        <v>0</v>
      </c>
      <c r="H20" s="46"/>
    </row>
    <row r="21" spans="1:12" ht="15" hidden="1" thickTop="1" thickBot="1">
      <c r="B21" s="45"/>
      <c r="C21" s="45"/>
      <c r="D21" s="46"/>
      <c r="E21" s="47"/>
      <c r="F21" s="48"/>
      <c r="G21" s="49">
        <f t="shared" si="0"/>
        <v>0</v>
      </c>
      <c r="H21" s="46"/>
    </row>
    <row r="22" spans="1:12" ht="15" hidden="1" thickTop="1" thickBot="1">
      <c r="B22" s="45"/>
      <c r="C22" s="45"/>
      <c r="D22" s="46"/>
      <c r="E22" s="47"/>
      <c r="F22" s="48"/>
      <c r="G22" s="49">
        <f t="shared" si="0"/>
        <v>0</v>
      </c>
      <c r="H22" s="46"/>
    </row>
    <row r="23" spans="1:12" ht="15" hidden="1" thickTop="1" thickBot="1">
      <c r="B23" s="45"/>
      <c r="C23" s="45"/>
      <c r="D23" s="46"/>
      <c r="E23" s="47"/>
      <c r="F23" s="48"/>
      <c r="G23" s="49">
        <f t="shared" si="0"/>
        <v>0</v>
      </c>
      <c r="H23" s="46"/>
    </row>
    <row r="24" spans="1:12" ht="15" hidden="1" thickTop="1" thickBot="1">
      <c r="B24" s="45"/>
      <c r="C24" s="45"/>
      <c r="D24" s="46"/>
      <c r="E24" s="47"/>
      <c r="F24" s="48"/>
      <c r="G24" s="49">
        <f t="shared" si="0"/>
        <v>0</v>
      </c>
      <c r="H24" s="46"/>
    </row>
    <row r="25" spans="1:12" s="55" customFormat="1" ht="15" thickTop="1" thickBot="1">
      <c r="A25" s="37"/>
      <c r="B25" s="51"/>
      <c r="C25" s="51"/>
      <c r="D25" s="52"/>
      <c r="E25" s="53"/>
      <c r="F25" s="51"/>
      <c r="G25" s="49"/>
      <c r="H25" s="54"/>
    </row>
    <row r="26" spans="1:12" ht="15" thickTop="1" thickBot="1">
      <c r="B26" s="85" t="s">
        <v>40</v>
      </c>
      <c r="C26" s="85"/>
      <c r="D26" s="85"/>
      <c r="E26" s="85"/>
      <c r="F26" s="85"/>
      <c r="G26" s="56">
        <f>SUM(G13:G25)</f>
        <v>2354.7822328114362</v>
      </c>
    </row>
    <row r="27" spans="1:12" ht="14.25" thickTop="1"/>
    <row r="28" spans="1:12">
      <c r="F28" s="37" t="s">
        <v>41</v>
      </c>
      <c r="G28" s="50">
        <f>G26*3.6725</f>
        <v>8647.9377499999991</v>
      </c>
    </row>
  </sheetData>
  <mergeCells count="4">
    <mergeCell ref="B7:D7"/>
    <mergeCell ref="B8:D8"/>
    <mergeCell ref="B9:D9"/>
    <mergeCell ref="B26:F26"/>
  </mergeCells>
  <hyperlinks>
    <hyperlink ref="H8" location="SEPT!A1" display="BAMF0017824" xr:uid="{9EA85F01-EA35-48D3-86B3-5B9E4DD48EE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3F0F-ECB7-4F08-8DC9-E9D678A41B6A}">
  <sheetPr codeName="Sheet109">
    <tabColor rgb="FF92D050"/>
  </sheetPr>
  <dimension ref="A5:H22"/>
  <sheetViews>
    <sheetView zoomScaleNormal="100" workbookViewId="0">
      <selection activeCell="F42" sqref="F42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81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80</v>
      </c>
    </row>
    <row r="10" spans="2:8" ht="15" thickTop="1" thickBot="1">
      <c r="G10" s="38" t="s">
        <v>33</v>
      </c>
      <c r="H10" s="42" t="s">
        <v>82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E42C53E2-D8B4-42D4-A321-1B68456BC654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827D8-7CED-4343-8751-A3DDD3ED0C2D}">
  <sheetPr codeName="Sheet110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84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83</v>
      </c>
    </row>
    <row r="10" spans="2:8" ht="15" thickTop="1" thickBot="1">
      <c r="G10" s="38" t="s">
        <v>33</v>
      </c>
      <c r="H10" s="42" t="s">
        <v>85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3BFE3718-A0B0-435A-8604-9653E8F356CA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51AB-50D3-4306-A743-C859DDF541B4}">
  <sheetPr codeName="Sheet111">
    <tabColor rgb="FF92D050"/>
  </sheetPr>
  <dimension ref="A5:H22"/>
  <sheetViews>
    <sheetView zoomScaleNormal="100" workbookViewId="0">
      <selection activeCell="D39" sqref="D39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88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86</v>
      </c>
    </row>
    <row r="10" spans="2:8" ht="15" thickTop="1" thickBot="1">
      <c r="G10" s="38" t="s">
        <v>33</v>
      </c>
      <c r="H10" s="42" t="s">
        <v>87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B47A455D-B555-46EE-8C94-B00D3E1D7C1B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C9D14-92F2-4E1A-9096-65457A0516FF}">
  <sheetPr codeName="Sheet112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91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89</v>
      </c>
    </row>
    <row r="10" spans="2:8" ht="15" thickTop="1" thickBot="1">
      <c r="G10" s="38" t="s">
        <v>33</v>
      </c>
      <c r="H10" s="42" t="s">
        <v>90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29CB7D34-20D9-4C22-A815-36B6C6A846A7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48A09-6C68-4358-8CE6-2E9F9CDD56C6}">
  <sheetPr codeName="Sheet118">
    <tabColor rgb="FF92D050"/>
  </sheetPr>
  <dimension ref="A5:H22"/>
  <sheetViews>
    <sheetView zoomScaleNormal="100" workbookViewId="0">
      <selection activeCell="G14" sqref="G14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116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114</v>
      </c>
    </row>
    <row r="10" spans="2:8" ht="15" thickTop="1" thickBot="1">
      <c r="G10" s="38" t="s">
        <v>33</v>
      </c>
      <c r="H10" s="42" t="s">
        <v>115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D19C0D5B-5C96-4884-9046-2C8D3790B50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D8BD5-C837-4A79-BE76-13B2FA079A48}">
  <sheetPr codeName="Sheet114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97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95</v>
      </c>
    </row>
    <row r="10" spans="2:8" ht="15" thickTop="1" thickBot="1">
      <c r="G10" s="38" t="s">
        <v>33</v>
      </c>
      <c r="H10" s="42" t="s">
        <v>96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E4455FB0-E3D5-4270-9D5C-2E60925DC409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95C15-9F71-49F5-91AE-12CCB457AF56}">
  <sheetPr codeName="Sheet116">
    <tabColor rgb="FF92D050"/>
  </sheetPr>
  <dimension ref="A5:H22"/>
  <sheetViews>
    <sheetView zoomScaleNormal="100" workbookViewId="0"/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47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109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108</v>
      </c>
    </row>
    <row r="10" spans="2:8" ht="15" thickTop="1" thickBot="1">
      <c r="G10" s="38" t="s">
        <v>33</v>
      </c>
      <c r="H10" s="42" t="s">
        <v>110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7A36414B-7E0C-4E70-8936-1F5549B24E7E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8A2F-07AC-4D25-B482-0EFD54A29AE9}">
  <sheetPr codeName="Sheet113">
    <tabColor rgb="FF92D050"/>
  </sheetPr>
  <dimension ref="A5:H22"/>
  <sheetViews>
    <sheetView zoomScaleNormal="100" workbookViewId="0">
      <selection activeCell="H9" sqref="H9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94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92</v>
      </c>
    </row>
    <row r="10" spans="2:8" ht="15" thickTop="1" thickBot="1">
      <c r="G10" s="38" t="s">
        <v>33</v>
      </c>
      <c r="H10" s="42" t="s">
        <v>93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1</v>
      </c>
      <c r="G13" s="49">
        <f>E13*F13</f>
        <v>80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230</v>
      </c>
    </row>
    <row r="21" spans="1:8" ht="14.25" thickTop="1"/>
    <row r="22" spans="1:8">
      <c r="F22" s="37" t="s">
        <v>41</v>
      </c>
      <c r="G22" s="50">
        <f>G20*3.6725</f>
        <v>844.67499999999995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0985F568-3C0E-46FA-9AE7-BF12FAEF70E5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BE9A7-C14A-46EE-975A-0890F7F21BAC}">
  <sheetPr codeName="Sheet122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49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162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161</v>
      </c>
    </row>
    <row r="10" spans="2:8" ht="15" thickTop="1" thickBot="1">
      <c r="G10" s="38" t="s">
        <v>33</v>
      </c>
      <c r="H10" s="42" t="s">
        <v>160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264134E2-9A0E-4CD5-8915-876C84D618D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A3629-1BCB-4098-8D8B-B84476567C74}">
  <sheetPr codeName="Sheet123">
    <tabColor rgb="FF92D050"/>
  </sheetPr>
  <dimension ref="A5:H22"/>
  <sheetViews>
    <sheetView zoomScaleNormal="100" workbookViewId="0"/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49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167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165</v>
      </c>
    </row>
    <row r="10" spans="2:8" ht="15" thickTop="1" thickBot="1">
      <c r="G10" s="38" t="s">
        <v>33</v>
      </c>
      <c r="H10" s="42" t="s">
        <v>166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BDBC5F1E-9F16-4431-AD22-CEC35D841541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3797-AB7B-423A-AE06-C4C7F6ADE0BD}">
  <sheetPr codeName="Sheet124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26.7109375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171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170</v>
      </c>
    </row>
    <row r="10" spans="2:8" ht="15" thickTop="1" thickBot="1">
      <c r="G10" s="38" t="s">
        <v>33</v>
      </c>
      <c r="H10" s="42" t="s">
        <v>172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150</v>
      </c>
      <c r="F13" s="48">
        <v>1</v>
      </c>
      <c r="G13" s="49">
        <f>E13*F13</f>
        <v>150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300</v>
      </c>
    </row>
    <row r="21" spans="1:8" ht="14.25" thickTop="1"/>
    <row r="22" spans="1:8">
      <c r="F22" s="37" t="s">
        <v>41</v>
      </c>
      <c r="G22" s="50">
        <f>G20*3.6725</f>
        <v>1101.75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D32B90E6-90F2-4E39-9324-FEABF9F3F279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715A8-98FD-46C6-982F-63264EF5F8A5}">
  <sheetPr codeName="Sheet125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6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175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174</v>
      </c>
    </row>
    <row r="10" spans="2:8" ht="15" thickTop="1" thickBot="1">
      <c r="G10" s="38" t="s">
        <v>33</v>
      </c>
      <c r="H10" s="42" t="s">
        <v>176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2</v>
      </c>
      <c r="G13" s="49">
        <f>E13*F13</f>
        <v>160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2</v>
      </c>
      <c r="G14" s="49">
        <f>E14*F14</f>
        <v>300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460</v>
      </c>
    </row>
    <row r="21" spans="1:8" ht="14.25" thickTop="1"/>
    <row r="22" spans="1:8">
      <c r="F22" s="37" t="s">
        <v>41</v>
      </c>
      <c r="G22" s="50">
        <f>G20*3.6725</f>
        <v>1689.35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80AF2E56-5F3A-42BD-A1D7-5767A037F0E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7253E-EE89-47F9-89C6-511042FA6E0F}">
  <sheetPr codeName="Sheet117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111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112</v>
      </c>
    </row>
    <row r="10" spans="2:8" ht="15" thickTop="1" thickBot="1">
      <c r="G10" s="38" t="s">
        <v>33</v>
      </c>
      <c r="H10" s="42" t="s">
        <v>113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1</v>
      </c>
      <c r="G13" s="49">
        <f>E13*F13</f>
        <v>80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230</v>
      </c>
    </row>
    <row r="21" spans="1:8" ht="14.25" thickTop="1"/>
    <row r="22" spans="1:8">
      <c r="F22" s="37" t="s">
        <v>41</v>
      </c>
      <c r="G22" s="50">
        <f>G20*3.6725</f>
        <v>844.67499999999995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DA3AE933-D1E1-49EE-AF57-C9E78F80A0FD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1B14B-E95A-4573-85E0-19E894692E75}">
  <sheetPr codeName="Sheet126">
    <tabColor rgb="FF92D050"/>
  </sheetPr>
  <dimension ref="A5:H22"/>
  <sheetViews>
    <sheetView zoomScaleNormal="100" workbookViewId="0"/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181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180</v>
      </c>
    </row>
    <row r="10" spans="2:8" ht="15" thickTop="1" thickBot="1">
      <c r="G10" s="38" t="s">
        <v>33</v>
      </c>
      <c r="H10" s="42" t="s">
        <v>182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1</v>
      </c>
      <c r="G13" s="49">
        <f>E13*F13</f>
        <v>80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230</v>
      </c>
    </row>
    <row r="21" spans="1:8" ht="14.25" thickTop="1"/>
    <row r="22" spans="1:8">
      <c r="F22" s="37" t="s">
        <v>41</v>
      </c>
      <c r="G22" s="50">
        <f>G20*3.6725</f>
        <v>844.67499999999995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9BC8FB0B-6D4A-4705-A293-9CE4831C8C06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A49E-BDE3-42A0-9F2B-BFC47A833805}">
  <sheetPr codeName="Sheet127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185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184</v>
      </c>
    </row>
    <row r="10" spans="2:8" ht="15" thickTop="1" thickBot="1">
      <c r="G10" s="38" t="s">
        <v>33</v>
      </c>
      <c r="H10" s="42" t="s">
        <v>186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2</v>
      </c>
      <c r="G13" s="49">
        <f>E13*F13</f>
        <v>160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2</v>
      </c>
      <c r="G14" s="49">
        <f>E14*F14</f>
        <v>300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460</v>
      </c>
    </row>
    <row r="21" spans="1:8" ht="14.25" thickTop="1"/>
    <row r="22" spans="1:8">
      <c r="F22" s="37" t="s">
        <v>41</v>
      </c>
      <c r="G22" s="50">
        <f>G20*3.6725</f>
        <v>1689.35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42F144A0-6DA8-4D2E-9571-2833938450D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65D1-EDCD-44A4-A852-37AEFC53B5DA}">
  <sheetPr codeName="Sheet128">
    <tabColor rgb="FF92D050"/>
  </sheetPr>
  <dimension ref="A5:H22"/>
  <sheetViews>
    <sheetView zoomScaleNormal="100" workbookViewId="0"/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190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188</v>
      </c>
    </row>
    <row r="10" spans="2:8" ht="15" thickTop="1" thickBot="1">
      <c r="G10" s="38" t="s">
        <v>33</v>
      </c>
      <c r="H10" s="42" t="s">
        <v>189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1</v>
      </c>
      <c r="G13" s="49">
        <f>E13*F13</f>
        <v>80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230</v>
      </c>
    </row>
    <row r="21" spans="1:8" ht="14.25" thickTop="1"/>
    <row r="22" spans="1:8">
      <c r="F22" s="37" t="s">
        <v>41</v>
      </c>
      <c r="G22" s="50">
        <f>G20*3.6725</f>
        <v>844.67499999999995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93BF1E77-F272-4E67-90D3-FA33DEF6988A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114FF-8F5D-45F4-B031-195D3238B18A}">
  <sheetPr codeName="Sheet129">
    <tabColor rgb="FF92D050"/>
  </sheetPr>
  <dimension ref="A5:H22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194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193</v>
      </c>
    </row>
    <row r="10" spans="2:8" ht="15" thickTop="1" thickBot="1">
      <c r="G10" s="38" t="s">
        <v>33</v>
      </c>
      <c r="H10" s="42" t="s">
        <v>195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1</v>
      </c>
      <c r="G13" s="49">
        <f>E13*F13</f>
        <v>80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230</v>
      </c>
    </row>
    <row r="21" spans="1:8" ht="14.25" thickTop="1"/>
    <row r="22" spans="1:8">
      <c r="F22" s="37" t="s">
        <v>41</v>
      </c>
      <c r="G22" s="50">
        <f>G20*3.6725</f>
        <v>844.67499999999995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428C9842-0646-4D6A-9C2F-AA5BE0E2355F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358F-21F7-49B3-BD9D-824522AFB3B0}">
  <sheetPr codeName="Sheet130">
    <tabColor rgb="FF92D050"/>
  </sheetPr>
  <dimension ref="A5:H22"/>
  <sheetViews>
    <sheetView zoomScaleNormal="100" workbookViewId="0"/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198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197</v>
      </c>
    </row>
    <row r="10" spans="2:8" ht="15" thickTop="1" thickBot="1">
      <c r="G10" s="38" t="s">
        <v>33</v>
      </c>
      <c r="H10" s="42" t="s">
        <v>199</v>
      </c>
    </row>
    <row r="11" spans="2:8" ht="15" thickTop="1" thickBot="1"/>
    <row r="12" spans="2:8" ht="15" thickTop="1" thickBot="1">
      <c r="B12" s="43" t="s">
        <v>2</v>
      </c>
      <c r="C12" s="43" t="s">
        <v>34</v>
      </c>
      <c r="D12" s="44" t="s">
        <v>35</v>
      </c>
      <c r="E12" s="44" t="s">
        <v>36</v>
      </c>
      <c r="F12" s="44" t="s">
        <v>37</v>
      </c>
      <c r="G12" s="44" t="s">
        <v>38</v>
      </c>
      <c r="H12" s="44" t="s">
        <v>39</v>
      </c>
    </row>
    <row r="13" spans="2:8" ht="15" thickTop="1" thickBot="1">
      <c r="B13" s="45">
        <v>1</v>
      </c>
      <c r="C13" s="45" t="s">
        <v>0</v>
      </c>
      <c r="D13" s="46" t="s">
        <v>50</v>
      </c>
      <c r="E13" s="47">
        <v>80</v>
      </c>
      <c r="F13" s="48">
        <v>1</v>
      </c>
      <c r="G13" s="49">
        <f>E13*F13</f>
        <v>80</v>
      </c>
      <c r="H13" s="46" t="s">
        <v>53</v>
      </c>
    </row>
    <row r="14" spans="2:8" ht="15" thickTop="1" thickBot="1">
      <c r="B14" s="45">
        <v>2</v>
      </c>
      <c r="C14" s="45" t="s">
        <v>0</v>
      </c>
      <c r="D14" s="46" t="s">
        <v>51</v>
      </c>
      <c r="E14" s="47">
        <v>150</v>
      </c>
      <c r="F14" s="48">
        <v>1</v>
      </c>
      <c r="G14" s="49">
        <f>E14*F14</f>
        <v>150</v>
      </c>
      <c r="H14" s="46" t="s">
        <v>53</v>
      </c>
    </row>
    <row r="15" spans="2:8" ht="15" hidden="1" thickTop="1" thickBot="1">
      <c r="B15" s="45"/>
      <c r="C15" s="45"/>
      <c r="D15" s="46"/>
      <c r="E15" s="47"/>
      <c r="F15" s="48"/>
      <c r="G15" s="49">
        <f t="shared" ref="G15:G18" si="0">E15*F15</f>
        <v>0</v>
      </c>
      <c r="H15" s="46"/>
    </row>
    <row r="16" spans="2:8" ht="15" hidden="1" thickTop="1" thickBot="1">
      <c r="B16" s="45"/>
      <c r="C16" s="45"/>
      <c r="D16" s="46"/>
      <c r="E16" s="47"/>
      <c r="F16" s="48"/>
      <c r="G16" s="49">
        <f t="shared" si="0"/>
        <v>0</v>
      </c>
      <c r="H16" s="46"/>
    </row>
    <row r="17" spans="1:8" ht="15" hidden="1" thickTop="1" thickBot="1">
      <c r="B17" s="45"/>
      <c r="C17" s="45"/>
      <c r="D17" s="46"/>
      <c r="E17" s="47"/>
      <c r="F17" s="48"/>
      <c r="G17" s="49">
        <f t="shared" si="0"/>
        <v>0</v>
      </c>
      <c r="H17" s="46"/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s="55" customFormat="1" ht="15" thickTop="1" thickBot="1">
      <c r="A19" s="37"/>
      <c r="B19" s="51"/>
      <c r="C19" s="51"/>
      <c r="D19" s="52"/>
      <c r="E19" s="53"/>
      <c r="F19" s="51"/>
      <c r="G19" s="49"/>
      <c r="H19" s="54"/>
    </row>
    <row r="20" spans="1:8" ht="15" thickTop="1" thickBot="1">
      <c r="B20" s="85" t="s">
        <v>40</v>
      </c>
      <c r="C20" s="85"/>
      <c r="D20" s="85"/>
      <c r="E20" s="85"/>
      <c r="F20" s="85"/>
      <c r="G20" s="56">
        <f>SUM(G13:G19)</f>
        <v>230</v>
      </c>
    </row>
    <row r="21" spans="1:8" ht="14.25" thickTop="1"/>
    <row r="22" spans="1:8">
      <c r="F22" s="37" t="s">
        <v>41</v>
      </c>
      <c r="G22" s="50">
        <f>G20*3.6725</f>
        <v>844.67499999999995</v>
      </c>
    </row>
  </sheetData>
  <mergeCells count="4">
    <mergeCell ref="B7:D7"/>
    <mergeCell ref="B8:D8"/>
    <mergeCell ref="B9:D9"/>
    <mergeCell ref="B20:F20"/>
  </mergeCells>
  <hyperlinks>
    <hyperlink ref="H8" location="SEPT!A1" display="BAMF0017824" xr:uid="{2204921A-62DE-4AA5-9853-36AE47B99DC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E189-DC57-4077-BD3F-923FC4936CED}">
  <sheetPr codeName="Sheet131">
    <tabColor rgb="FF92D050"/>
  </sheetPr>
  <dimension ref="A5:H29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203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206</v>
      </c>
    </row>
    <row r="10" spans="2:8" ht="15" thickTop="1" thickBot="1"/>
    <row r="11" spans="2:8" ht="15" thickTop="1" thickBot="1">
      <c r="B11" s="43" t="s">
        <v>2</v>
      </c>
      <c r="C11" s="43" t="s">
        <v>34</v>
      </c>
      <c r="D11" s="44" t="s">
        <v>35</v>
      </c>
      <c r="E11" s="44" t="s">
        <v>36</v>
      </c>
      <c r="F11" s="44" t="s">
        <v>37</v>
      </c>
      <c r="G11" s="44" t="s">
        <v>38</v>
      </c>
      <c r="H11" s="44" t="s">
        <v>39</v>
      </c>
    </row>
    <row r="12" spans="2:8" ht="15" thickTop="1" thickBot="1">
      <c r="B12" s="45">
        <v>1</v>
      </c>
      <c r="C12" s="45" t="s">
        <v>204</v>
      </c>
      <c r="D12" s="46" t="s">
        <v>207</v>
      </c>
      <c r="E12" s="47">
        <v>150</v>
      </c>
      <c r="F12" s="48">
        <v>1</v>
      </c>
      <c r="G12" s="49">
        <f>E12*F12</f>
        <v>150</v>
      </c>
      <c r="H12" s="46" t="s">
        <v>53</v>
      </c>
    </row>
    <row r="13" spans="2:8" ht="15" thickTop="1" thickBot="1">
      <c r="B13" s="45">
        <v>2</v>
      </c>
      <c r="C13" s="45" t="s">
        <v>204</v>
      </c>
      <c r="D13" s="46" t="s">
        <v>208</v>
      </c>
      <c r="E13" s="47">
        <v>24.51</v>
      </c>
      <c r="F13" s="48">
        <v>1</v>
      </c>
      <c r="G13" s="49">
        <f t="shared" ref="G13:G21" si="0">E13*F13</f>
        <v>24.51</v>
      </c>
      <c r="H13" s="46" t="s">
        <v>53</v>
      </c>
    </row>
    <row r="14" spans="2:8" ht="15" thickTop="1" thickBot="1">
      <c r="B14" s="45">
        <v>3</v>
      </c>
      <c r="C14" s="45" t="s">
        <v>204</v>
      </c>
      <c r="D14" s="46" t="s">
        <v>209</v>
      </c>
      <c r="E14" s="47">
        <v>15.72</v>
      </c>
      <c r="F14" s="48">
        <v>1</v>
      </c>
      <c r="G14" s="49">
        <f t="shared" si="0"/>
        <v>15.72</v>
      </c>
      <c r="H14" s="46" t="s">
        <v>53</v>
      </c>
    </row>
    <row r="15" spans="2:8" ht="15" thickTop="1" thickBot="1">
      <c r="B15" s="45">
        <v>4</v>
      </c>
      <c r="C15" s="45" t="s">
        <v>204</v>
      </c>
      <c r="D15" s="46" t="s">
        <v>210</v>
      </c>
      <c r="E15" s="47">
        <v>8.58</v>
      </c>
      <c r="F15" s="48">
        <v>1</v>
      </c>
      <c r="G15" s="49">
        <f t="shared" si="0"/>
        <v>8.58</v>
      </c>
      <c r="H15" s="46" t="s">
        <v>53</v>
      </c>
    </row>
    <row r="16" spans="2:8" ht="15" thickTop="1" thickBot="1">
      <c r="B16" s="45">
        <v>5</v>
      </c>
      <c r="C16" s="45" t="s">
        <v>204</v>
      </c>
      <c r="D16" s="46" t="s">
        <v>211</v>
      </c>
      <c r="E16" s="47">
        <v>85.77</v>
      </c>
      <c r="F16" s="48">
        <v>1</v>
      </c>
      <c r="G16" s="49">
        <f t="shared" si="0"/>
        <v>85.77</v>
      </c>
      <c r="H16" s="46" t="s">
        <v>53</v>
      </c>
    </row>
    <row r="17" spans="1:8" ht="15" thickTop="1" thickBot="1">
      <c r="B17" s="45">
        <v>6</v>
      </c>
      <c r="C17" s="45" t="s">
        <v>204</v>
      </c>
      <c r="D17" s="46" t="s">
        <v>212</v>
      </c>
      <c r="E17" s="47">
        <v>125</v>
      </c>
      <c r="F17" s="48">
        <v>1</v>
      </c>
      <c r="G17" s="49">
        <f t="shared" si="0"/>
        <v>125</v>
      </c>
      <c r="H17" s="46" t="s">
        <v>53</v>
      </c>
    </row>
    <row r="18" spans="1:8" ht="15" thickTop="1" thickBot="1">
      <c r="B18" s="45">
        <v>7</v>
      </c>
      <c r="C18" s="45" t="s">
        <v>204</v>
      </c>
      <c r="D18" s="46" t="s">
        <v>213</v>
      </c>
      <c r="E18" s="47">
        <v>150</v>
      </c>
      <c r="F18" s="48">
        <v>1</v>
      </c>
      <c r="G18" s="49">
        <f t="shared" si="0"/>
        <v>150</v>
      </c>
      <c r="H18" s="46" t="s">
        <v>53</v>
      </c>
    </row>
    <row r="19" spans="1:8" ht="15" thickTop="1" thickBot="1">
      <c r="B19" s="45">
        <v>8</v>
      </c>
      <c r="C19" s="45" t="s">
        <v>204</v>
      </c>
      <c r="D19" s="46" t="s">
        <v>214</v>
      </c>
      <c r="E19" s="47">
        <v>1978.35</v>
      </c>
      <c r="F19" s="48">
        <v>1</v>
      </c>
      <c r="G19" s="49">
        <f t="shared" si="0"/>
        <v>1978.35</v>
      </c>
      <c r="H19" s="46" t="s">
        <v>53</v>
      </c>
    </row>
    <row r="20" spans="1:8" ht="15" thickTop="1" thickBot="1">
      <c r="B20" s="45">
        <v>9</v>
      </c>
      <c r="C20" s="45" t="s">
        <v>204</v>
      </c>
      <c r="D20" s="46" t="s">
        <v>215</v>
      </c>
      <c r="E20" s="47">
        <v>85.77</v>
      </c>
      <c r="F20" s="48">
        <v>1</v>
      </c>
      <c r="G20" s="49">
        <f t="shared" si="0"/>
        <v>85.77</v>
      </c>
      <c r="H20" s="46" t="s">
        <v>53</v>
      </c>
    </row>
    <row r="21" spans="1:8" ht="15" thickTop="1" thickBot="1">
      <c r="B21" s="45">
        <v>10</v>
      </c>
      <c r="C21" s="45" t="s">
        <v>204</v>
      </c>
      <c r="D21" s="46" t="s">
        <v>216</v>
      </c>
      <c r="E21" s="47">
        <v>68.069999999999993</v>
      </c>
      <c r="F21" s="48">
        <v>1</v>
      </c>
      <c r="G21" s="49">
        <f t="shared" si="0"/>
        <v>68.069999999999993</v>
      </c>
      <c r="H21" s="46" t="s">
        <v>53</v>
      </c>
    </row>
    <row r="22" spans="1:8" ht="15" hidden="1" thickTop="1" thickBot="1">
      <c r="B22" s="45"/>
      <c r="C22" s="45"/>
      <c r="D22" s="46"/>
      <c r="E22" s="47"/>
      <c r="F22" s="48"/>
      <c r="G22" s="49">
        <f t="shared" ref="G22:G25" si="1">E22*F22</f>
        <v>0</v>
      </c>
      <c r="H22" s="46"/>
    </row>
    <row r="23" spans="1:8" ht="15" hidden="1" thickTop="1" thickBot="1">
      <c r="B23" s="45"/>
      <c r="C23" s="45"/>
      <c r="D23" s="46"/>
      <c r="E23" s="47"/>
      <c r="F23" s="48"/>
      <c r="G23" s="49">
        <f t="shared" si="1"/>
        <v>0</v>
      </c>
      <c r="H23" s="46"/>
    </row>
    <row r="24" spans="1:8" ht="15" hidden="1" thickTop="1" thickBot="1">
      <c r="B24" s="45"/>
      <c r="C24" s="45"/>
      <c r="D24" s="46"/>
      <c r="E24" s="47"/>
      <c r="F24" s="48"/>
      <c r="G24" s="49">
        <f t="shared" si="1"/>
        <v>0</v>
      </c>
      <c r="H24" s="46"/>
    </row>
    <row r="25" spans="1:8" ht="15" hidden="1" thickTop="1" thickBot="1">
      <c r="B25" s="45"/>
      <c r="C25" s="45"/>
      <c r="D25" s="46"/>
      <c r="E25" s="47"/>
      <c r="F25" s="48"/>
      <c r="G25" s="49">
        <f t="shared" si="1"/>
        <v>0</v>
      </c>
      <c r="H25" s="46"/>
    </row>
    <row r="26" spans="1:8" s="55" customFormat="1" ht="15" thickTop="1" thickBot="1">
      <c r="A26" s="37"/>
      <c r="B26" s="51"/>
      <c r="C26" s="51"/>
      <c r="D26" s="52"/>
      <c r="E26" s="53"/>
      <c r="F26" s="51"/>
      <c r="G26" s="49"/>
      <c r="H26" s="54"/>
    </row>
    <row r="27" spans="1:8" ht="15" thickTop="1" thickBot="1">
      <c r="B27" s="85" t="s">
        <v>40</v>
      </c>
      <c r="C27" s="85"/>
      <c r="D27" s="85"/>
      <c r="E27" s="85"/>
      <c r="F27" s="85"/>
      <c r="G27" s="56">
        <f>SUM(G12:G26)</f>
        <v>2691.77</v>
      </c>
    </row>
    <row r="28" spans="1:8" ht="14.25" thickTop="1"/>
    <row r="29" spans="1:8">
      <c r="F29" s="37" t="s">
        <v>41</v>
      </c>
      <c r="G29" s="50">
        <f>G27*3.6725</f>
        <v>9885.5253249999987</v>
      </c>
    </row>
  </sheetData>
  <mergeCells count="4">
    <mergeCell ref="B7:D7"/>
    <mergeCell ref="B8:D8"/>
    <mergeCell ref="B9:D9"/>
    <mergeCell ref="B27:F27"/>
  </mergeCells>
  <hyperlinks>
    <hyperlink ref="H8" location="SEPT!A1" display="BAMF0017824" xr:uid="{88A31809-1662-4B28-9EC1-F982FF9A754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1A03-83F4-48DD-AE3F-84DFB12CB7F8}">
  <sheetPr codeName="Sheet132">
    <tabColor rgb="FF92D050"/>
  </sheetPr>
  <dimension ref="A5:H27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222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224</v>
      </c>
    </row>
    <row r="10" spans="2:8" ht="15" thickTop="1" thickBot="1"/>
    <row r="11" spans="2:8" ht="15" thickTop="1" thickBot="1">
      <c r="B11" s="43" t="s">
        <v>2</v>
      </c>
      <c r="C11" s="43" t="s">
        <v>34</v>
      </c>
      <c r="D11" s="44" t="s">
        <v>35</v>
      </c>
      <c r="E11" s="44" t="s">
        <v>36</v>
      </c>
      <c r="F11" s="44" t="s">
        <v>37</v>
      </c>
      <c r="G11" s="44" t="s">
        <v>38</v>
      </c>
      <c r="H11" s="44" t="s">
        <v>39</v>
      </c>
    </row>
    <row r="12" spans="2:8" ht="15" thickTop="1" thickBot="1">
      <c r="B12" s="45">
        <v>1</v>
      </c>
      <c r="C12" s="45" t="s">
        <v>204</v>
      </c>
      <c r="D12" s="46" t="s">
        <v>207</v>
      </c>
      <c r="E12" s="47">
        <v>150</v>
      </c>
      <c r="F12" s="48">
        <v>1</v>
      </c>
      <c r="G12" s="49">
        <f>E12*F12</f>
        <v>150</v>
      </c>
      <c r="H12" s="46" t="s">
        <v>53</v>
      </c>
    </row>
    <row r="13" spans="2:8" ht="15" thickTop="1" thickBot="1">
      <c r="B13" s="45">
        <v>2</v>
      </c>
      <c r="C13" s="45" t="s">
        <v>204</v>
      </c>
      <c r="D13" s="46" t="s">
        <v>210</v>
      </c>
      <c r="E13" s="47">
        <v>8.58</v>
      </c>
      <c r="F13" s="48">
        <v>1</v>
      </c>
      <c r="G13" s="49">
        <f t="shared" ref="G13:G23" si="0">E13*F13</f>
        <v>8.58</v>
      </c>
      <c r="H13" s="46" t="s">
        <v>53</v>
      </c>
    </row>
    <row r="14" spans="2:8" ht="15" thickTop="1" thickBot="1">
      <c r="B14" s="45">
        <v>3</v>
      </c>
      <c r="C14" s="45" t="s">
        <v>204</v>
      </c>
      <c r="D14" s="46" t="s">
        <v>225</v>
      </c>
      <c r="E14" s="47">
        <v>125</v>
      </c>
      <c r="F14" s="48">
        <v>1</v>
      </c>
      <c r="G14" s="49">
        <f t="shared" si="0"/>
        <v>125</v>
      </c>
      <c r="H14" s="46" t="s">
        <v>53</v>
      </c>
    </row>
    <row r="15" spans="2:8" ht="15" thickTop="1" thickBot="1">
      <c r="B15" s="45">
        <v>4</v>
      </c>
      <c r="C15" s="45" t="s">
        <v>204</v>
      </c>
      <c r="D15" s="46" t="s">
        <v>213</v>
      </c>
      <c r="E15" s="47">
        <v>150</v>
      </c>
      <c r="F15" s="48">
        <v>1</v>
      </c>
      <c r="G15" s="49">
        <f t="shared" si="0"/>
        <v>150</v>
      </c>
      <c r="H15" s="46" t="s">
        <v>53</v>
      </c>
    </row>
    <row r="16" spans="2:8" ht="15" thickTop="1" thickBot="1">
      <c r="B16" s="45">
        <v>5</v>
      </c>
      <c r="C16" s="45" t="s">
        <v>204</v>
      </c>
      <c r="D16" s="46" t="s">
        <v>226</v>
      </c>
      <c r="E16" s="47">
        <v>989.18</v>
      </c>
      <c r="F16" s="48">
        <v>1</v>
      </c>
      <c r="G16" s="49">
        <f t="shared" si="0"/>
        <v>989.18</v>
      </c>
      <c r="H16" s="46" t="s">
        <v>53</v>
      </c>
    </row>
    <row r="17" spans="1:8" ht="15" thickTop="1" thickBot="1">
      <c r="B17" s="45"/>
      <c r="C17" s="45"/>
      <c r="D17" s="46"/>
      <c r="E17" s="47"/>
      <c r="F17" s="48">
        <v>1</v>
      </c>
      <c r="G17" s="49">
        <f t="shared" si="0"/>
        <v>0</v>
      </c>
      <c r="H17" s="46" t="s">
        <v>53</v>
      </c>
    </row>
    <row r="18" spans="1:8" ht="15" thickTop="1" thickBot="1">
      <c r="B18" s="45"/>
      <c r="C18" s="45"/>
      <c r="D18" s="46"/>
      <c r="E18" s="47"/>
      <c r="F18" s="48">
        <v>1</v>
      </c>
      <c r="G18" s="49">
        <f t="shared" si="0"/>
        <v>0</v>
      </c>
      <c r="H18" s="46" t="s">
        <v>53</v>
      </c>
    </row>
    <row r="19" spans="1:8" ht="15" thickTop="1" thickBot="1">
      <c r="B19" s="45"/>
      <c r="C19" s="45"/>
      <c r="D19" s="46"/>
      <c r="E19" s="47"/>
      <c r="F19" s="48">
        <v>1</v>
      </c>
      <c r="G19" s="49">
        <f t="shared" si="0"/>
        <v>0</v>
      </c>
      <c r="H19" s="46" t="s">
        <v>53</v>
      </c>
    </row>
    <row r="20" spans="1:8" ht="15" hidden="1" thickTop="1" thickBot="1">
      <c r="B20" s="45"/>
      <c r="C20" s="45"/>
      <c r="D20" s="46"/>
      <c r="E20" s="47"/>
      <c r="F20" s="48"/>
      <c r="G20" s="49">
        <f t="shared" si="0"/>
        <v>0</v>
      </c>
      <c r="H20" s="46"/>
    </row>
    <row r="21" spans="1:8" ht="15" hidden="1" thickTop="1" thickBot="1">
      <c r="B21" s="45"/>
      <c r="C21" s="45"/>
      <c r="D21" s="46"/>
      <c r="E21" s="47"/>
      <c r="F21" s="48"/>
      <c r="G21" s="49">
        <f t="shared" si="0"/>
        <v>0</v>
      </c>
      <c r="H21" s="46"/>
    </row>
    <row r="22" spans="1:8" ht="15" hidden="1" thickTop="1" thickBot="1">
      <c r="B22" s="45"/>
      <c r="C22" s="45"/>
      <c r="D22" s="46"/>
      <c r="E22" s="47"/>
      <c r="F22" s="48"/>
      <c r="G22" s="49">
        <f t="shared" si="0"/>
        <v>0</v>
      </c>
      <c r="H22" s="46"/>
    </row>
    <row r="23" spans="1:8" ht="15" hidden="1" thickTop="1" thickBot="1">
      <c r="B23" s="45"/>
      <c r="C23" s="45"/>
      <c r="D23" s="46"/>
      <c r="E23" s="47"/>
      <c r="F23" s="48"/>
      <c r="G23" s="49">
        <f t="shared" si="0"/>
        <v>0</v>
      </c>
      <c r="H23" s="46"/>
    </row>
    <row r="24" spans="1:8" s="55" customFormat="1" ht="15" thickTop="1" thickBot="1">
      <c r="A24" s="37"/>
      <c r="B24" s="51"/>
      <c r="C24" s="51"/>
      <c r="D24" s="52"/>
      <c r="E24" s="53"/>
      <c r="F24" s="51"/>
      <c r="G24" s="49"/>
      <c r="H24" s="54"/>
    </row>
    <row r="25" spans="1:8" ht="15" thickTop="1" thickBot="1">
      <c r="B25" s="85" t="s">
        <v>40</v>
      </c>
      <c r="C25" s="85"/>
      <c r="D25" s="85"/>
      <c r="E25" s="85"/>
      <c r="F25" s="85"/>
      <c r="G25" s="56">
        <f>SUM(G12:G24)</f>
        <v>1422.76</v>
      </c>
    </row>
    <row r="26" spans="1:8" ht="14.25" thickTop="1"/>
    <row r="27" spans="1:8">
      <c r="F27" s="37" t="s">
        <v>41</v>
      </c>
      <c r="G27" s="50">
        <f>G25*3.6725</f>
        <v>5225.0860999999995</v>
      </c>
    </row>
  </sheetData>
  <mergeCells count="4">
    <mergeCell ref="B7:D7"/>
    <mergeCell ref="B8:D8"/>
    <mergeCell ref="B9:D9"/>
    <mergeCell ref="B25:F25"/>
  </mergeCells>
  <hyperlinks>
    <hyperlink ref="H8" location="SEPT!A1" display="BAMF0017824" xr:uid="{3A33C97B-36F3-48B2-B923-9EB41BD6FE27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138F5-C85A-4CD3-9177-C7CAA4E4C235}">
  <sheetPr codeName="Sheet133">
    <tabColor rgb="FF92D050"/>
  </sheetPr>
  <dimension ref="A5:H25"/>
  <sheetViews>
    <sheetView zoomScaleNormal="100" workbookViewId="0">
      <selection activeCell="H8" sqref="H8"/>
    </sheetView>
  </sheetViews>
  <sheetFormatPr defaultRowHeight="13.5"/>
  <cols>
    <col min="1" max="1" width="9.140625" style="37"/>
    <col min="2" max="2" width="6.7109375" style="37" bestFit="1" customWidth="1"/>
    <col min="3" max="3" width="16" style="37" bestFit="1" customWidth="1"/>
    <col min="4" max="4" width="98.7109375" style="37" bestFit="1" customWidth="1"/>
    <col min="5" max="5" width="12.42578125" style="37" customWidth="1"/>
    <col min="6" max="6" width="7.7109375" style="37" bestFit="1" customWidth="1"/>
    <col min="7" max="7" width="21.140625" style="37" bestFit="1" customWidth="1"/>
    <col min="8" max="8" width="36" style="37" bestFit="1" customWidth="1"/>
    <col min="9" max="11" width="9.140625" style="37"/>
    <col min="12" max="12" width="10.140625" style="37" bestFit="1" customWidth="1"/>
    <col min="13" max="13" width="11.7109375" style="37" bestFit="1" customWidth="1"/>
    <col min="14" max="16384" width="9.140625" style="37"/>
  </cols>
  <sheetData>
    <row r="5" spans="2:8" ht="14.25" thickBot="1"/>
    <row r="6" spans="2:8" ht="15" thickTop="1" thickBot="1">
      <c r="B6" s="37" t="s">
        <v>24</v>
      </c>
      <c r="G6" s="38" t="s">
        <v>25</v>
      </c>
      <c r="H6" s="39">
        <f ca="1">TODAY()</f>
        <v>45937</v>
      </c>
    </row>
    <row r="7" spans="2:8" ht="15" thickTop="1" thickBot="1">
      <c r="B7" s="83" t="s">
        <v>26</v>
      </c>
      <c r="C7" s="83"/>
      <c r="D7" s="83"/>
      <c r="G7" s="38" t="s">
        <v>27</v>
      </c>
      <c r="H7" s="40" t="s">
        <v>28</v>
      </c>
    </row>
    <row r="8" spans="2:8" ht="15" thickTop="1" thickBot="1">
      <c r="B8" s="84" t="s">
        <v>29</v>
      </c>
      <c r="C8" s="84"/>
      <c r="D8" s="84"/>
      <c r="G8" s="38" t="s">
        <v>30</v>
      </c>
      <c r="H8" s="41" t="s">
        <v>230</v>
      </c>
    </row>
    <row r="9" spans="2:8" ht="15" thickTop="1" thickBot="1">
      <c r="B9" s="84" t="s">
        <v>31</v>
      </c>
      <c r="C9" s="84"/>
      <c r="D9" s="84"/>
      <c r="G9" s="38" t="s">
        <v>32</v>
      </c>
      <c r="H9" s="42" t="s">
        <v>229</v>
      </c>
    </row>
    <row r="10" spans="2:8" ht="15" thickTop="1" thickBot="1"/>
    <row r="11" spans="2:8" ht="15" thickTop="1" thickBot="1">
      <c r="B11" s="43" t="s">
        <v>2</v>
      </c>
      <c r="C11" s="43" t="s">
        <v>34</v>
      </c>
      <c r="D11" s="44" t="s">
        <v>35</v>
      </c>
      <c r="E11" s="44" t="s">
        <v>36</v>
      </c>
      <c r="F11" s="44" t="s">
        <v>37</v>
      </c>
      <c r="G11" s="44" t="s">
        <v>38</v>
      </c>
      <c r="H11" s="44" t="s">
        <v>39</v>
      </c>
    </row>
    <row r="12" spans="2:8" ht="15" thickTop="1" thickBot="1">
      <c r="B12" s="45">
        <v>1</v>
      </c>
      <c r="C12" s="45" t="s">
        <v>204</v>
      </c>
      <c r="D12" s="46" t="s">
        <v>50</v>
      </c>
      <c r="E12" s="47">
        <v>150</v>
      </c>
      <c r="F12" s="48">
        <v>1</v>
      </c>
      <c r="G12" s="49">
        <f>E12*F12</f>
        <v>150</v>
      </c>
      <c r="H12" s="46" t="s">
        <v>53</v>
      </c>
    </row>
    <row r="13" spans="2:8" ht="15" thickTop="1" thickBot="1">
      <c r="B13" s="45">
        <v>2</v>
      </c>
      <c r="C13" s="45" t="s">
        <v>204</v>
      </c>
      <c r="D13" s="46" t="s">
        <v>232</v>
      </c>
      <c r="E13" s="47">
        <v>20.010000000000002</v>
      </c>
      <c r="F13" s="48">
        <v>1</v>
      </c>
      <c r="G13" s="49">
        <f t="shared" ref="G13:G21" si="0">E13*F13</f>
        <v>20.010000000000002</v>
      </c>
      <c r="H13" s="46" t="s">
        <v>53</v>
      </c>
    </row>
    <row r="14" spans="2:8" ht="15" thickTop="1" thickBot="1">
      <c r="B14" s="45">
        <v>3</v>
      </c>
      <c r="C14" s="45" t="s">
        <v>204</v>
      </c>
      <c r="D14" s="46" t="s">
        <v>212</v>
      </c>
      <c r="E14" s="47">
        <v>125</v>
      </c>
      <c r="F14" s="48">
        <v>1</v>
      </c>
      <c r="G14" s="49">
        <f t="shared" si="0"/>
        <v>125</v>
      </c>
      <c r="H14" s="46" t="s">
        <v>53</v>
      </c>
    </row>
    <row r="15" spans="2:8" ht="15" thickTop="1" thickBot="1">
      <c r="B15" s="45">
        <v>4</v>
      </c>
      <c r="C15" s="45" t="s">
        <v>204</v>
      </c>
      <c r="D15" s="46" t="s">
        <v>233</v>
      </c>
      <c r="E15" s="47">
        <v>150</v>
      </c>
      <c r="F15" s="48">
        <v>1</v>
      </c>
      <c r="G15" s="49">
        <f t="shared" si="0"/>
        <v>150</v>
      </c>
      <c r="H15" s="46" t="s">
        <v>53</v>
      </c>
    </row>
    <row r="16" spans="2:8" ht="15" thickTop="1" thickBot="1">
      <c r="B16" s="45">
        <v>5</v>
      </c>
      <c r="C16" s="45" t="s">
        <v>204</v>
      </c>
      <c r="D16" s="46" t="s">
        <v>234</v>
      </c>
      <c r="E16" s="47">
        <v>989.18</v>
      </c>
      <c r="F16" s="48">
        <v>1</v>
      </c>
      <c r="G16" s="49">
        <f t="shared" si="0"/>
        <v>989.18</v>
      </c>
      <c r="H16" s="46" t="s">
        <v>53</v>
      </c>
    </row>
    <row r="17" spans="1:8" ht="15" thickTop="1" thickBot="1">
      <c r="B17" s="45">
        <v>6</v>
      </c>
      <c r="C17" s="45" t="s">
        <v>204</v>
      </c>
      <c r="D17" s="46" t="s">
        <v>235</v>
      </c>
      <c r="E17" s="47">
        <v>150</v>
      </c>
      <c r="F17" s="48">
        <v>1</v>
      </c>
      <c r="G17" s="49">
        <f t="shared" si="0"/>
        <v>150</v>
      </c>
      <c r="H17" s="46" t="s">
        <v>53</v>
      </c>
    </row>
    <row r="18" spans="1:8" ht="15" hidden="1" thickTop="1" thickBot="1">
      <c r="B18" s="45"/>
      <c r="C18" s="45"/>
      <c r="D18" s="46"/>
      <c r="E18" s="47"/>
      <c r="F18" s="48"/>
      <c r="G18" s="49">
        <f t="shared" si="0"/>
        <v>0</v>
      </c>
      <c r="H18" s="46"/>
    </row>
    <row r="19" spans="1:8" ht="15" hidden="1" thickTop="1" thickBot="1">
      <c r="B19" s="45"/>
      <c r="C19" s="45"/>
      <c r="D19" s="46"/>
      <c r="E19" s="47"/>
      <c r="F19" s="48"/>
      <c r="G19" s="49">
        <f t="shared" si="0"/>
        <v>0</v>
      </c>
      <c r="H19" s="46"/>
    </row>
    <row r="20" spans="1:8" ht="15" hidden="1" thickTop="1" thickBot="1">
      <c r="B20" s="45"/>
      <c r="C20" s="45"/>
      <c r="D20" s="46"/>
      <c r="E20" s="47"/>
      <c r="F20" s="48"/>
      <c r="G20" s="49">
        <f t="shared" si="0"/>
        <v>0</v>
      </c>
      <c r="H20" s="46"/>
    </row>
    <row r="21" spans="1:8" ht="15" hidden="1" thickTop="1" thickBot="1">
      <c r="B21" s="45"/>
      <c r="C21" s="45"/>
      <c r="D21" s="46"/>
      <c r="E21" s="47"/>
      <c r="F21" s="48"/>
      <c r="G21" s="49">
        <f t="shared" si="0"/>
        <v>0</v>
      </c>
      <c r="H21" s="46"/>
    </row>
    <row r="22" spans="1:8" s="55" customFormat="1" ht="15" thickTop="1" thickBot="1">
      <c r="A22" s="37"/>
      <c r="B22" s="51"/>
      <c r="C22" s="51"/>
      <c r="D22" s="52"/>
      <c r="E22" s="53"/>
      <c r="F22" s="51"/>
      <c r="G22" s="49"/>
      <c r="H22" s="54"/>
    </row>
    <row r="23" spans="1:8" ht="15" thickTop="1" thickBot="1">
      <c r="B23" s="85" t="s">
        <v>40</v>
      </c>
      <c r="C23" s="85"/>
      <c r="D23" s="85"/>
      <c r="E23" s="85"/>
      <c r="F23" s="85"/>
      <c r="G23" s="56">
        <f>SUM(G12:G22)</f>
        <v>1584.19</v>
      </c>
    </row>
    <row r="24" spans="1:8" ht="14.25" thickTop="1"/>
    <row r="25" spans="1:8">
      <c r="F25" s="37" t="s">
        <v>41</v>
      </c>
      <c r="G25" s="50">
        <f>G23*3.6725</f>
        <v>5817.9377750000003</v>
      </c>
    </row>
  </sheetData>
  <mergeCells count="4">
    <mergeCell ref="B7:D7"/>
    <mergeCell ref="B8:D8"/>
    <mergeCell ref="B9:D9"/>
    <mergeCell ref="B23:F23"/>
  </mergeCells>
  <hyperlinks>
    <hyperlink ref="H8" location="SEPT!A1" display="BAMF0017824" xr:uid="{A07C01B8-6CE3-4C85-BF51-F43905F4C09B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0E76A5882C8F4EB7943A7243FFB88C" ma:contentTypeVersion="13" ma:contentTypeDescription="Create a new document." ma:contentTypeScope="" ma:versionID="aa623593fc9762637c11719a79063bd5">
  <xsd:schema xmlns:xsd="http://www.w3.org/2001/XMLSchema" xmlns:xs="http://www.w3.org/2001/XMLSchema" xmlns:p="http://schemas.microsoft.com/office/2006/metadata/properties" xmlns:ns2="4ed7d3a9-713a-4e35-b173-170e570bbf8b" xmlns:ns3="fd376cfa-f0b6-4371-99ad-7148527816d7" targetNamespace="http://schemas.microsoft.com/office/2006/metadata/properties" ma:root="true" ma:fieldsID="54f9777af15a2c8bda82ce533e65a584" ns2:_="" ns3:_="">
    <xsd:import namespace="4ed7d3a9-713a-4e35-b173-170e570bbf8b"/>
    <xsd:import namespace="fd376cfa-f0b6-4371-99ad-7148527816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d7d3a9-713a-4e35-b173-170e570bbf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e879f6f-b325-4b8f-a44f-5cc8dac506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376cfa-f0b6-4371-99ad-7148527816d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ebde04c-230c-4ba8-a251-9ee091403d3d}" ma:internalName="TaxCatchAll" ma:showField="CatchAllData" ma:web="fd376cfa-f0b6-4371-99ad-7148527816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d376cfa-f0b6-4371-99ad-7148527816d7" xsi:nil="true"/>
    <lcf76f155ced4ddcb4097134ff3c332f xmlns="4ed7d3a9-713a-4e35-b173-170e570bbf8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CBBFC7D-DC93-4301-8C29-5A12895380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d7d3a9-713a-4e35-b173-170e570bbf8b"/>
    <ds:schemaRef ds:uri="fd376cfa-f0b6-4371-99ad-7148527816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8291D28-3CB4-4DE6-8C42-595E4CEDC77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790E0A-7EB2-44B3-9745-661F9570244B}">
  <ds:schemaRefs>
    <ds:schemaRef ds:uri="http://purl.org/dc/dcmitype/"/>
    <ds:schemaRef ds:uri="http://schemas.microsoft.com/office/infopath/2007/PartnerControls"/>
    <ds:schemaRef ds:uri="fd376cfa-f0b6-4371-99ad-7148527816d7"/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4ed7d3a9-713a-4e35-b173-170e570bbf8b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28</vt:i4>
      </vt:variant>
    </vt:vector>
  </HeadingPairs>
  <TitlesOfParts>
    <vt:vector size="57" baseType="lpstr">
      <vt:lpstr>SEPT</vt:lpstr>
      <vt:lpstr>SCT0126</vt:lpstr>
      <vt:lpstr>SCT0127</vt:lpstr>
      <vt:lpstr>SCT0038</vt:lpstr>
      <vt:lpstr>SCT0122</vt:lpstr>
      <vt:lpstr>SCT0131</vt:lpstr>
      <vt:lpstr>SCT0123,0124</vt:lpstr>
      <vt:lpstr>SCT0134</vt:lpstr>
      <vt:lpstr>HE0471</vt:lpstr>
      <vt:lpstr>HE0472</vt:lpstr>
      <vt:lpstr>HE0473</vt:lpstr>
      <vt:lpstr>HE0450,0459,0460</vt:lpstr>
      <vt:lpstr>HE0466,0467,0468</vt:lpstr>
      <vt:lpstr>HE0464,0465,0470</vt:lpstr>
      <vt:lpstr>HE0437,0438-2,0439-2,0440-1,044</vt:lpstr>
      <vt:lpstr>HE0487</vt:lpstr>
      <vt:lpstr>HE0438-0454</vt:lpstr>
      <vt:lpstr>HE0425,0426,0427,0428</vt:lpstr>
      <vt:lpstr>HE0475</vt:lpstr>
      <vt:lpstr>HE0497</vt:lpstr>
      <vt:lpstr>HE0500</vt:lpstr>
      <vt:lpstr>HE0488</vt:lpstr>
      <vt:lpstr>HE0495,0496</vt:lpstr>
      <vt:lpstr>HE0498</vt:lpstr>
      <vt:lpstr>HE0501</vt:lpstr>
      <vt:lpstr>HE0502</vt:lpstr>
      <vt:lpstr>HE0499L1</vt:lpstr>
      <vt:lpstr>HE0499L2</vt:lpstr>
      <vt:lpstr>HE0499L3</vt:lpstr>
      <vt:lpstr>'HE0425,0426,0427,0428'!Print_Area</vt:lpstr>
      <vt:lpstr>'HE0437,0438-2,0439-2,0440-1,044'!Print_Area</vt:lpstr>
      <vt:lpstr>'HE0438-0454'!Print_Area</vt:lpstr>
      <vt:lpstr>'HE0450,0459,0460'!Print_Area</vt:lpstr>
      <vt:lpstr>'HE0464,0465,0470'!Print_Area</vt:lpstr>
      <vt:lpstr>'HE0466,0467,0468'!Print_Area</vt:lpstr>
      <vt:lpstr>'HE0471'!Print_Area</vt:lpstr>
      <vt:lpstr>'HE0472'!Print_Area</vt:lpstr>
      <vt:lpstr>'HE0473'!Print_Area</vt:lpstr>
      <vt:lpstr>'HE0475'!Print_Area</vt:lpstr>
      <vt:lpstr>'HE0487'!Print_Area</vt:lpstr>
      <vt:lpstr>'HE0488'!Print_Area</vt:lpstr>
      <vt:lpstr>'HE0495,0496'!Print_Area</vt:lpstr>
      <vt:lpstr>'HE0497'!Print_Area</vt:lpstr>
      <vt:lpstr>'HE0498'!Print_Area</vt:lpstr>
      <vt:lpstr>HE0499L1!Print_Area</vt:lpstr>
      <vt:lpstr>HE0499L2!Print_Area</vt:lpstr>
      <vt:lpstr>HE0499L3!Print_Area</vt:lpstr>
      <vt:lpstr>'HE0500'!Print_Area</vt:lpstr>
      <vt:lpstr>'HE0501'!Print_Area</vt:lpstr>
      <vt:lpstr>'HE0502'!Print_Area</vt:lpstr>
      <vt:lpstr>'SCT0038'!Print_Area</vt:lpstr>
      <vt:lpstr>'SCT0122'!Print_Area</vt:lpstr>
      <vt:lpstr>'SCT0123,0124'!Print_Area</vt:lpstr>
      <vt:lpstr>'SCT0126'!Print_Area</vt:lpstr>
      <vt:lpstr>'SCT0127'!Print_Area</vt:lpstr>
      <vt:lpstr>'SCT0131'!Print_Area</vt:lpstr>
      <vt:lpstr>'SCT0134'!Print_Area</vt:lpstr>
    </vt:vector>
  </TitlesOfParts>
  <Manager/>
  <Company>DSV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Romeo Etis - DSV</dc:creator>
  <cp:keywords/>
  <dc:description/>
  <cp:lastModifiedBy>John Romeo Etis - DSV</cp:lastModifiedBy>
  <cp:revision/>
  <dcterms:created xsi:type="dcterms:W3CDTF">2024-10-22T11:57:24Z</dcterms:created>
  <dcterms:modified xsi:type="dcterms:W3CDTF">2025-10-07T07:55:14Z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6c1fee-2f04-49ca-98cf-bcf61896c7fa_Enabled">
    <vt:lpwstr>true</vt:lpwstr>
  </property>
  <property fmtid="{D5CDD505-2E9C-101B-9397-08002B2CF9AE}" pid="3" name="MSIP_Label_fc6c1fee-2f04-49ca-98cf-bcf61896c7fa_SetDate">
    <vt:lpwstr>2024-11-01T07:55:36Z</vt:lpwstr>
  </property>
  <property fmtid="{D5CDD505-2E9C-101B-9397-08002B2CF9AE}" pid="4" name="MSIP_Label_fc6c1fee-2f04-49ca-98cf-bcf61896c7fa_Method">
    <vt:lpwstr>Standard</vt:lpwstr>
  </property>
  <property fmtid="{D5CDD505-2E9C-101B-9397-08002B2CF9AE}" pid="5" name="MSIP_Label_fc6c1fee-2f04-49ca-98cf-bcf61896c7fa_Name">
    <vt:lpwstr>Internal</vt:lpwstr>
  </property>
  <property fmtid="{D5CDD505-2E9C-101B-9397-08002B2CF9AE}" pid="6" name="MSIP_Label_fc6c1fee-2f04-49ca-98cf-bcf61896c7fa_SiteId">
    <vt:lpwstr>4a90c23a-3ece-4ef2-b857-522f23b8204c</vt:lpwstr>
  </property>
  <property fmtid="{D5CDD505-2E9C-101B-9397-08002B2CF9AE}" pid="7" name="MSIP_Label_fc6c1fee-2f04-49ca-98cf-bcf61896c7fa_ActionId">
    <vt:lpwstr>12334da4-6cdd-4fa8-96c7-6ebbb75cfdf0</vt:lpwstr>
  </property>
  <property fmtid="{D5CDD505-2E9C-101B-9397-08002B2CF9AE}" pid="8" name="MSIP_Label_fc6c1fee-2f04-49ca-98cf-bcf61896c7fa_ContentBits">
    <vt:lpwstr>2</vt:lpwstr>
  </property>
  <property fmtid="{D5CDD505-2E9C-101B-9397-08002B2CF9AE}" pid="9" name="ContentTypeId">
    <vt:lpwstr>0x010100EB0E76A5882C8F4EB7943A7243FFB88C</vt:lpwstr>
  </property>
  <property fmtid="{D5CDD505-2E9C-101B-9397-08002B2CF9AE}" pid="10" name="xd_ProgID">
    <vt:lpwstr/>
  </property>
  <property fmtid="{D5CDD505-2E9C-101B-9397-08002B2CF9AE}" pid="11" name="MediaServiceImageTags">
    <vt:lpwstr/>
  </property>
  <property fmtid="{D5CDD505-2E9C-101B-9397-08002B2CF9AE}" pid="12" name="ComplianceAssetId">
    <vt:lpwstr/>
  </property>
  <property fmtid="{D5CDD505-2E9C-101B-9397-08002B2CF9AE}" pid="13" name="TemplateUrl">
    <vt:lpwstr/>
  </property>
  <property fmtid="{D5CDD505-2E9C-101B-9397-08002B2CF9AE}" pid="14" name="_ExtendedDescription">
    <vt:lpwstr/>
  </property>
  <property fmtid="{D5CDD505-2E9C-101B-9397-08002B2CF9AE}" pid="15" name="TriggerFlowInfo">
    <vt:lpwstr/>
  </property>
  <property fmtid="{D5CDD505-2E9C-101B-9397-08002B2CF9AE}" pid="16" name="xd_Signature">
    <vt:bool>false</vt:bool>
  </property>
</Properties>
</file>